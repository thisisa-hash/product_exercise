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initions" sheetId="1" r:id="rId5"/>
    <sheet state="visible" name="Conversion" sheetId="2" r:id="rId6"/>
    <sheet state="visible" name="Customer Base" sheetId="3" r:id="rId7"/>
    <sheet state="visible" name="Category" sheetId="4" r:id="rId8"/>
  </sheets>
  <definedNames/>
  <calcPr/>
</workbook>
</file>

<file path=xl/sharedStrings.xml><?xml version="1.0" encoding="utf-8"?>
<sst xmlns="http://schemas.openxmlformats.org/spreadsheetml/2006/main" count="75" uniqueCount="28">
  <si>
    <t>Column</t>
  </si>
  <si>
    <t>Definition</t>
  </si>
  <si>
    <t>Public</t>
  </si>
  <si>
    <t>a mission that is available to the whole customer base</t>
  </si>
  <si>
    <t>Private</t>
  </si>
  <si>
    <t>a mission that is available only to specific segments - not everyone can see and particpate</t>
  </si>
  <si>
    <t>Optins</t>
  </si>
  <si>
    <t>how many optins we have, given the number of available missions</t>
  </si>
  <si>
    <t>Completions</t>
  </si>
  <si>
    <t>how many completions we have, given the number of available missions</t>
  </si>
  <si>
    <t>Active Users</t>
  </si>
  <si>
    <t>the customer base that logged in during a given week</t>
  </si>
  <si>
    <t>Active Users with at least 1 Opt In</t>
  </si>
  <si>
    <t>the customer base that opted in to at least one mission during a given week</t>
  </si>
  <si>
    <t>Active Users with at least 1 Completion</t>
  </si>
  <si>
    <t>the customer base that completed at least one mission during a given week</t>
  </si>
  <si>
    <t>Week</t>
  </si>
  <si>
    <t>Month</t>
  </si>
  <si>
    <t># of Missions</t>
  </si>
  <si>
    <t>Conversion Rate</t>
  </si>
  <si>
    <t>April</t>
  </si>
  <si>
    <t>May</t>
  </si>
  <si>
    <t>June</t>
  </si>
  <si>
    <t>Football Missions</t>
  </si>
  <si>
    <t>Basketball Missions</t>
  </si>
  <si>
    <t>Tennis Missions</t>
  </si>
  <si>
    <t>Mixed Missions</t>
  </si>
  <si>
    <t>Total 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</si>
</sst>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3" xfId="0" applyAlignment="1" applyFont="1" applyNumberFormat="1">
      <alignment horizontal="center" readingOrder="0" vertical="center"/>
    </xf>
    <xf borderId="0" fillId="0" fontId="1" numFmtId="10" xfId="0" applyAlignment="1" applyFont="1" applyNumberFormat="1">
      <alignment horizontal="center" vertical="center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13"/>
    <col customWidth="1" min="3" max="3" width="6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0</v>
      </c>
      <c r="C3" s="2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2</v>
      </c>
      <c r="C4" s="3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 t="s">
        <v>4</v>
      </c>
      <c r="C5" s="3" t="s">
        <v>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" t="s">
        <v>6</v>
      </c>
      <c r="C6" s="3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" t="s">
        <v>8</v>
      </c>
      <c r="C7" s="3" t="s">
        <v>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" t="s">
        <v>10</v>
      </c>
      <c r="C8" s="3" t="s">
        <v>11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" t="s">
        <v>12</v>
      </c>
      <c r="C9" s="3" t="s">
        <v>13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" t="s">
        <v>14</v>
      </c>
      <c r="C10" s="3" t="s">
        <v>15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13"/>
    <col customWidth="1" min="5" max="5" width="16.88"/>
    <col customWidth="1" min="6" max="6" width="13.88"/>
    <col customWidth="1" min="7" max="7" width="14.38"/>
    <col customWidth="1" min="9" max="9" width="16.75"/>
  </cols>
  <sheetData>
    <row r="1">
      <c r="A1" s="1"/>
      <c r="B1" s="2" t="s">
        <v>16</v>
      </c>
      <c r="C1" s="2" t="s">
        <v>17</v>
      </c>
      <c r="D1" s="2" t="s">
        <v>18</v>
      </c>
      <c r="E1" s="2" t="s">
        <v>2</v>
      </c>
      <c r="F1" s="2" t="s">
        <v>4</v>
      </c>
      <c r="G1" s="2" t="s">
        <v>6</v>
      </c>
      <c r="H1" s="2" t="s">
        <v>8</v>
      </c>
      <c r="I1" s="2" t="s">
        <v>19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4">
        <v>45753.0</v>
      </c>
      <c r="C2" s="3" t="s">
        <v>20</v>
      </c>
      <c r="D2" s="3">
        <v>7.0</v>
      </c>
      <c r="E2" s="5">
        <v>6.0</v>
      </c>
      <c r="F2" s="5">
        <v>1.0</v>
      </c>
      <c r="G2" s="5">
        <v>12100.0</v>
      </c>
      <c r="H2" s="5">
        <v>4321.0</v>
      </c>
      <c r="I2" s="6">
        <f t="shared" ref="I2:I14" si="1">H2/G2</f>
        <v>0.357107438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4">
        <v>45760.0</v>
      </c>
      <c r="C3" s="3" t="s">
        <v>20</v>
      </c>
      <c r="D3" s="3">
        <v>8.0</v>
      </c>
      <c r="E3" s="3">
        <v>7.0</v>
      </c>
      <c r="F3" s="3">
        <v>1.0</v>
      </c>
      <c r="G3" s="5">
        <v>13400.0</v>
      </c>
      <c r="H3" s="5">
        <v>4810.0</v>
      </c>
      <c r="I3" s="6">
        <f t="shared" si="1"/>
        <v>0.3589552239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4">
        <v>45767.0</v>
      </c>
      <c r="C4" s="3" t="s">
        <v>20</v>
      </c>
      <c r="D4" s="3">
        <v>8.0</v>
      </c>
      <c r="E4" s="3">
        <v>7.0</v>
      </c>
      <c r="F4" s="3">
        <v>1.0</v>
      </c>
      <c r="G4" s="5">
        <v>12500.0</v>
      </c>
      <c r="H4" s="5">
        <v>4610.0</v>
      </c>
      <c r="I4" s="6">
        <f t="shared" si="1"/>
        <v>0.3688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4">
        <v>45774.0</v>
      </c>
      <c r="C5" s="3" t="s">
        <v>20</v>
      </c>
      <c r="D5" s="3">
        <v>5.0</v>
      </c>
      <c r="E5" s="3">
        <v>5.0</v>
      </c>
      <c r="F5" s="1"/>
      <c r="G5" s="5">
        <v>11340.0</v>
      </c>
      <c r="H5" s="5">
        <v>3610.0</v>
      </c>
      <c r="I5" s="6">
        <f t="shared" si="1"/>
        <v>0.3183421517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4">
        <v>45781.0</v>
      </c>
      <c r="C6" s="3" t="s">
        <v>21</v>
      </c>
      <c r="D6" s="3">
        <v>10.0</v>
      </c>
      <c r="E6" s="3">
        <v>7.0</v>
      </c>
      <c r="F6" s="3">
        <v>3.0</v>
      </c>
      <c r="G6" s="5">
        <v>15220.0</v>
      </c>
      <c r="H6" s="5">
        <v>6540.0</v>
      </c>
      <c r="I6" s="6">
        <f t="shared" si="1"/>
        <v>0.4296977661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4">
        <v>45788.0</v>
      </c>
      <c r="C7" s="3" t="s">
        <v>21</v>
      </c>
      <c r="D7" s="3">
        <v>9.0</v>
      </c>
      <c r="E7" s="3">
        <v>6.0</v>
      </c>
      <c r="F7" s="3">
        <v>3.0</v>
      </c>
      <c r="G7" s="5">
        <v>13988.0</v>
      </c>
      <c r="H7" s="5">
        <v>5621.0</v>
      </c>
      <c r="I7" s="6">
        <f t="shared" si="1"/>
        <v>0.4018444381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4">
        <v>45795.0</v>
      </c>
      <c r="C8" s="3" t="s">
        <v>21</v>
      </c>
      <c r="D8" s="3">
        <v>14.0</v>
      </c>
      <c r="E8" s="3">
        <v>9.0</v>
      </c>
      <c r="F8" s="3">
        <v>5.0</v>
      </c>
      <c r="G8" s="5">
        <v>25432.0</v>
      </c>
      <c r="H8" s="5">
        <v>9765.0</v>
      </c>
      <c r="I8" s="6">
        <f t="shared" si="1"/>
        <v>0.3839650834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4">
        <v>45802.0</v>
      </c>
      <c r="C9" s="3" t="s">
        <v>21</v>
      </c>
      <c r="D9" s="3">
        <v>10.0</v>
      </c>
      <c r="E9" s="3">
        <v>6.0</v>
      </c>
      <c r="F9" s="3">
        <v>4.0</v>
      </c>
      <c r="G9" s="5">
        <v>15220.0</v>
      </c>
      <c r="H9" s="5">
        <v>6921.0</v>
      </c>
      <c r="I9" s="6">
        <f t="shared" si="1"/>
        <v>0.4547306176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4">
        <v>45809.0</v>
      </c>
      <c r="C10" s="3" t="s">
        <v>22</v>
      </c>
      <c r="D10" s="3">
        <v>5.0</v>
      </c>
      <c r="E10" s="3">
        <v>5.0</v>
      </c>
      <c r="F10" s="1"/>
      <c r="G10" s="5">
        <v>11612.0</v>
      </c>
      <c r="H10" s="5">
        <v>3100.0</v>
      </c>
      <c r="I10" s="6">
        <f t="shared" si="1"/>
        <v>0.2669652084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4">
        <v>45816.0</v>
      </c>
      <c r="C11" s="3" t="s">
        <v>22</v>
      </c>
      <c r="D11" s="3">
        <v>5.0</v>
      </c>
      <c r="E11" s="3">
        <v>5.0</v>
      </c>
      <c r="F11" s="1"/>
      <c r="G11" s="5">
        <v>11819.0</v>
      </c>
      <c r="H11" s="5">
        <v>3283.0</v>
      </c>
      <c r="I11" s="6">
        <f t="shared" si="1"/>
        <v>0.2777730772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4">
        <v>45823.0</v>
      </c>
      <c r="C12" s="3" t="s">
        <v>22</v>
      </c>
      <c r="D12" s="3">
        <v>6.0</v>
      </c>
      <c r="E12" s="3">
        <v>5.0</v>
      </c>
      <c r="F12" s="3">
        <v>1.0</v>
      </c>
      <c r="G12" s="5">
        <v>12765.0</v>
      </c>
      <c r="H12" s="5">
        <v>3923.0</v>
      </c>
      <c r="I12" s="6">
        <f t="shared" si="1"/>
        <v>0.307324716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4">
        <v>45830.0</v>
      </c>
      <c r="C13" s="3" t="s">
        <v>22</v>
      </c>
      <c r="D13" s="3">
        <v>6.0</v>
      </c>
      <c r="E13" s="3">
        <v>5.0</v>
      </c>
      <c r="F13" s="3">
        <v>1.0</v>
      </c>
      <c r="G13" s="5">
        <v>12910.0</v>
      </c>
      <c r="H13" s="5">
        <v>4100.0</v>
      </c>
      <c r="I13" s="6">
        <f t="shared" si="1"/>
        <v>0.3175832688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4">
        <v>45837.0</v>
      </c>
      <c r="C14" s="3" t="s">
        <v>22</v>
      </c>
      <c r="D14" s="3">
        <v>6.0</v>
      </c>
      <c r="E14" s="3">
        <v>5.0</v>
      </c>
      <c r="F14" s="3">
        <v>1.0</v>
      </c>
      <c r="G14" s="5">
        <v>13234.0</v>
      </c>
      <c r="H14" s="5">
        <v>4219.0</v>
      </c>
      <c r="I14" s="6">
        <f t="shared" si="1"/>
        <v>0.3188000605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2"/>
      <c r="C19" s="2"/>
      <c r="D19" s="2"/>
      <c r="E19" s="2"/>
      <c r="F19" s="2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4"/>
      <c r="C20" s="3"/>
      <c r="D20" s="3"/>
      <c r="E20" s="3"/>
      <c r="F20" s="3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4"/>
      <c r="C21" s="3"/>
      <c r="D21" s="3"/>
      <c r="E21" s="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4"/>
      <c r="C22" s="3"/>
      <c r="D22" s="3"/>
      <c r="E22" s="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4"/>
      <c r="C23" s="3"/>
      <c r="D23" s="3"/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4"/>
      <c r="C24" s="3"/>
      <c r="D24" s="3"/>
      <c r="E24" s="1"/>
      <c r="F24" s="3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4"/>
      <c r="C25" s="3"/>
      <c r="D25" s="3"/>
      <c r="E25" s="3"/>
      <c r="F25" s="1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4"/>
      <c r="C26" s="3"/>
      <c r="D26" s="3"/>
      <c r="E26" s="3"/>
      <c r="F26" s="1"/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4"/>
      <c r="C27" s="3"/>
      <c r="D27" s="3"/>
      <c r="E27" s="3"/>
      <c r="F27" s="1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4"/>
      <c r="C28" s="3"/>
      <c r="D28" s="3"/>
      <c r="E28" s="1"/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4"/>
      <c r="C29" s="3"/>
      <c r="D29" s="3"/>
      <c r="E29" s="1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4"/>
      <c r="C30" s="3"/>
      <c r="D30" s="3"/>
      <c r="E30" s="1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4"/>
      <c r="C31" s="3"/>
      <c r="D31" s="3"/>
      <c r="E31" s="1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4"/>
      <c r="C32" s="3"/>
      <c r="D32" s="3"/>
      <c r="E32" s="1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1.13"/>
    <col customWidth="1" min="5" max="5" width="27.75"/>
    <col customWidth="1" min="6" max="6" width="32.13"/>
    <col customWidth="1" min="9" max="9" width="14.25"/>
    <col customWidth="1" min="12" max="12" width="26.0"/>
    <col customWidth="1" min="13" max="13" width="29.25"/>
  </cols>
  <sheetData>
    <row r="1">
      <c r="B1" s="2" t="s">
        <v>16</v>
      </c>
      <c r="C1" s="2" t="s">
        <v>17</v>
      </c>
      <c r="D1" s="2" t="s">
        <v>10</v>
      </c>
      <c r="E1" s="2" t="s">
        <v>12</v>
      </c>
      <c r="F1" s="2" t="s">
        <v>14</v>
      </c>
      <c r="G1" s="2"/>
      <c r="H1" s="2"/>
      <c r="I1" s="2"/>
    </row>
    <row r="2">
      <c r="B2" s="4">
        <v>45753.0</v>
      </c>
      <c r="C2" s="3" t="s">
        <v>20</v>
      </c>
      <c r="D2" s="5">
        <v>23000.0</v>
      </c>
      <c r="E2" s="5">
        <v>3650.0</v>
      </c>
      <c r="F2" s="5">
        <v>2100.0</v>
      </c>
      <c r="G2" s="5"/>
      <c r="H2" s="5"/>
      <c r="I2" s="6"/>
      <c r="N2" s="6">
        <f t="shared" ref="N2:N14" si="1">E2/D2</f>
        <v>0.1586956522</v>
      </c>
      <c r="O2" s="6">
        <f t="shared" ref="O2:O14" si="2">F2/D2</f>
        <v>0.09130434783</v>
      </c>
    </row>
    <row r="3">
      <c r="B3" s="4">
        <v>45760.0</v>
      </c>
      <c r="C3" s="3" t="s">
        <v>20</v>
      </c>
      <c r="D3" s="5">
        <v>23120.0</v>
      </c>
      <c r="E3" s="5">
        <v>3710.0</v>
      </c>
      <c r="F3" s="5">
        <v>2045.0</v>
      </c>
      <c r="G3" s="5"/>
      <c r="H3" s="5"/>
      <c r="I3" s="6"/>
      <c r="N3" s="6">
        <f t="shared" si="1"/>
        <v>0.160467128</v>
      </c>
      <c r="O3" s="6">
        <f t="shared" si="2"/>
        <v>0.08845155709</v>
      </c>
    </row>
    <row r="4">
      <c r="B4" s="4">
        <v>45767.0</v>
      </c>
      <c r="C4" s="3" t="s">
        <v>20</v>
      </c>
      <c r="D4" s="5">
        <v>24100.0</v>
      </c>
      <c r="E4" s="5">
        <v>3643.0</v>
      </c>
      <c r="F4" s="5">
        <v>2210.0</v>
      </c>
      <c r="G4" s="5"/>
      <c r="H4" s="5"/>
      <c r="I4" s="6"/>
      <c r="N4" s="6">
        <f t="shared" si="1"/>
        <v>0.1511618257</v>
      </c>
      <c r="O4" s="6">
        <f t="shared" si="2"/>
        <v>0.09170124481</v>
      </c>
    </row>
    <row r="5">
      <c r="B5" s="4">
        <v>45774.0</v>
      </c>
      <c r="C5" s="3" t="s">
        <v>20</v>
      </c>
      <c r="D5" s="5">
        <v>25320.0</v>
      </c>
      <c r="E5" s="5">
        <v>3900.0</v>
      </c>
      <c r="F5" s="5">
        <v>1980.0</v>
      </c>
      <c r="G5" s="5"/>
      <c r="H5" s="5"/>
      <c r="I5" s="6"/>
      <c r="N5" s="6">
        <f t="shared" si="1"/>
        <v>0.154028436</v>
      </c>
      <c r="O5" s="6">
        <f t="shared" si="2"/>
        <v>0.07819905213</v>
      </c>
    </row>
    <row r="6">
      <c r="B6" s="4">
        <v>45781.0</v>
      </c>
      <c r="C6" s="3" t="s">
        <v>21</v>
      </c>
      <c r="D6" s="5">
        <v>25800.0</v>
      </c>
      <c r="E6" s="5">
        <v>4100.0</v>
      </c>
      <c r="F6" s="5">
        <v>2350.0</v>
      </c>
      <c r="G6" s="5"/>
      <c r="H6" s="5"/>
      <c r="I6" s="6"/>
      <c r="N6" s="6">
        <f t="shared" si="1"/>
        <v>0.1589147287</v>
      </c>
      <c r="O6" s="6">
        <f t="shared" si="2"/>
        <v>0.09108527132</v>
      </c>
    </row>
    <row r="7">
      <c r="B7" s="4">
        <v>45788.0</v>
      </c>
      <c r="C7" s="3" t="s">
        <v>21</v>
      </c>
      <c r="D7" s="5">
        <v>27100.0</v>
      </c>
      <c r="E7" s="5">
        <v>4320.0</v>
      </c>
      <c r="F7" s="5">
        <v>2410.0</v>
      </c>
      <c r="G7" s="5"/>
      <c r="H7" s="5"/>
      <c r="I7" s="6"/>
      <c r="N7" s="6">
        <f t="shared" si="1"/>
        <v>0.1594095941</v>
      </c>
      <c r="O7" s="6">
        <f t="shared" si="2"/>
        <v>0.0889298893</v>
      </c>
    </row>
    <row r="8">
      <c r="B8" s="4">
        <v>45795.0</v>
      </c>
      <c r="C8" s="3" t="s">
        <v>21</v>
      </c>
      <c r="D8" s="5">
        <v>29100.0</v>
      </c>
      <c r="E8" s="5">
        <v>4450.0</v>
      </c>
      <c r="F8" s="5">
        <v>2499.0</v>
      </c>
      <c r="G8" s="5"/>
      <c r="H8" s="5"/>
      <c r="I8" s="6"/>
      <c r="N8" s="6">
        <f t="shared" si="1"/>
        <v>0.1529209622</v>
      </c>
      <c r="O8" s="6">
        <f t="shared" si="2"/>
        <v>0.08587628866</v>
      </c>
    </row>
    <row r="9">
      <c r="B9" s="4">
        <v>45802.0</v>
      </c>
      <c r="C9" s="3" t="s">
        <v>21</v>
      </c>
      <c r="D9" s="5">
        <v>28200.0</v>
      </c>
      <c r="E9" s="5">
        <v>4610.0</v>
      </c>
      <c r="F9" s="5">
        <v>2231.0</v>
      </c>
      <c r="G9" s="5"/>
      <c r="H9" s="5"/>
      <c r="I9" s="6"/>
      <c r="N9" s="6">
        <f t="shared" si="1"/>
        <v>0.1634751773</v>
      </c>
      <c r="O9" s="6">
        <f t="shared" si="2"/>
        <v>0.07911347518</v>
      </c>
    </row>
    <row r="10">
      <c r="B10" s="4">
        <v>45809.0</v>
      </c>
      <c r="C10" s="3" t="s">
        <v>22</v>
      </c>
      <c r="D10" s="5">
        <v>27830.0</v>
      </c>
      <c r="E10" s="5">
        <v>4650.0</v>
      </c>
      <c r="F10" s="5">
        <v>1762.0</v>
      </c>
      <c r="G10" s="5"/>
      <c r="H10" s="5"/>
      <c r="I10" s="6"/>
      <c r="N10" s="6">
        <f t="shared" si="1"/>
        <v>0.1670858785</v>
      </c>
      <c r="O10" s="6">
        <f t="shared" si="2"/>
        <v>0.06331297161</v>
      </c>
    </row>
    <row r="11">
      <c r="B11" s="4">
        <v>45816.0</v>
      </c>
      <c r="C11" s="3" t="s">
        <v>22</v>
      </c>
      <c r="D11" s="5">
        <v>27820.0</v>
      </c>
      <c r="E11" s="5">
        <v>4603.0</v>
      </c>
      <c r="F11" s="5">
        <v>1634.0</v>
      </c>
      <c r="G11" s="5"/>
      <c r="H11" s="5"/>
      <c r="I11" s="6"/>
      <c r="N11" s="6">
        <f t="shared" si="1"/>
        <v>0.1654565061</v>
      </c>
      <c r="O11" s="6">
        <f t="shared" si="2"/>
        <v>0.05873472322</v>
      </c>
    </row>
    <row r="12">
      <c r="B12" s="4">
        <v>45823.0</v>
      </c>
      <c r="C12" s="3" t="s">
        <v>22</v>
      </c>
      <c r="D12" s="5">
        <v>27340.0</v>
      </c>
      <c r="E12" s="5">
        <v>4610.0</v>
      </c>
      <c r="F12" s="5">
        <v>1534.0</v>
      </c>
      <c r="G12" s="5"/>
      <c r="H12" s="5"/>
      <c r="I12" s="6"/>
      <c r="N12" s="6">
        <f t="shared" si="1"/>
        <v>0.1686174104</v>
      </c>
      <c r="O12" s="6">
        <f t="shared" si="2"/>
        <v>0.05610826628</v>
      </c>
    </row>
    <row r="13">
      <c r="B13" s="4">
        <v>45830.0</v>
      </c>
      <c r="C13" s="3" t="s">
        <v>22</v>
      </c>
      <c r="D13" s="5">
        <v>27360.0</v>
      </c>
      <c r="E13" s="5">
        <v>4660.0</v>
      </c>
      <c r="F13" s="5">
        <v>1612.0</v>
      </c>
      <c r="G13" s="5"/>
      <c r="H13" s="5"/>
      <c r="I13" s="6"/>
      <c r="N13" s="6">
        <f t="shared" si="1"/>
        <v>0.1703216374</v>
      </c>
      <c r="O13" s="6">
        <f t="shared" si="2"/>
        <v>0.05891812865</v>
      </c>
    </row>
    <row r="14">
      <c r="B14" s="4">
        <v>45837.0</v>
      </c>
      <c r="C14" s="3" t="s">
        <v>22</v>
      </c>
      <c r="D14" s="5">
        <v>27410.0</v>
      </c>
      <c r="E14" s="5">
        <v>4754.0</v>
      </c>
      <c r="F14" s="5">
        <v>1234.0</v>
      </c>
      <c r="G14" s="5"/>
      <c r="H14" s="5"/>
      <c r="I14" s="6"/>
      <c r="N14" s="6">
        <f t="shared" si="1"/>
        <v>0.1734403502</v>
      </c>
      <c r="O14" s="6">
        <f t="shared" si="2"/>
        <v>0.04502006567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38"/>
    <col customWidth="1" min="3" max="3" width="6.0"/>
    <col customWidth="1" min="4" max="4" width="15.13"/>
    <col customWidth="1" min="5" max="5" width="16.88"/>
    <col customWidth="1" min="6" max="6" width="13.88"/>
    <col customWidth="1" min="7" max="7" width="13.38"/>
  </cols>
  <sheetData>
    <row r="1">
      <c r="B1" s="2" t="s">
        <v>16</v>
      </c>
      <c r="C1" s="2" t="s">
        <v>17</v>
      </c>
      <c r="D1" s="2" t="s">
        <v>23</v>
      </c>
      <c r="E1" s="2" t="s">
        <v>24</v>
      </c>
      <c r="F1" s="2" t="s">
        <v>25</v>
      </c>
      <c r="G1" s="2" t="s">
        <v>26</v>
      </c>
      <c r="H1" s="7" t="s">
        <v>27</v>
      </c>
    </row>
    <row r="2">
      <c r="B2" s="4">
        <v>45753.0</v>
      </c>
      <c r="C2" s="3" t="s">
        <v>20</v>
      </c>
      <c r="D2" s="3">
        <v>4.0</v>
      </c>
      <c r="E2" s="3">
        <v>3.0</v>
      </c>
      <c r="F2" s="3"/>
      <c r="G2" s="3"/>
      <c r="H2" s="8">
        <f t="shared" ref="H2:H14" si="1">SUM(D2:G2)</f>
        <v>7</v>
      </c>
    </row>
    <row r="3">
      <c r="B3" s="4">
        <v>45760.0</v>
      </c>
      <c r="C3" s="3" t="s">
        <v>20</v>
      </c>
      <c r="D3" s="3">
        <v>5.0</v>
      </c>
      <c r="E3" s="3">
        <v>3.0</v>
      </c>
      <c r="F3" s="1"/>
      <c r="G3" s="1"/>
      <c r="H3" s="8">
        <f t="shared" si="1"/>
        <v>8</v>
      </c>
    </row>
    <row r="4">
      <c r="B4" s="4">
        <v>45767.0</v>
      </c>
      <c r="C4" s="3" t="s">
        <v>20</v>
      </c>
      <c r="D4" s="3">
        <v>5.0</v>
      </c>
      <c r="E4" s="3">
        <v>3.0</v>
      </c>
      <c r="F4" s="1"/>
      <c r="G4" s="1"/>
      <c r="H4" s="8">
        <f t="shared" si="1"/>
        <v>8</v>
      </c>
    </row>
    <row r="5">
      <c r="B5" s="4">
        <v>45774.0</v>
      </c>
      <c r="C5" s="3" t="s">
        <v>20</v>
      </c>
      <c r="D5" s="3">
        <v>2.0</v>
      </c>
      <c r="E5" s="1"/>
      <c r="F5" s="3">
        <v>3.0</v>
      </c>
      <c r="G5" s="1"/>
      <c r="H5" s="8">
        <f t="shared" si="1"/>
        <v>5</v>
      </c>
    </row>
    <row r="6">
      <c r="B6" s="4">
        <v>45781.0</v>
      </c>
      <c r="C6" s="3" t="s">
        <v>21</v>
      </c>
      <c r="D6" s="3">
        <v>6.0</v>
      </c>
      <c r="E6" s="1"/>
      <c r="F6" s="3">
        <v>1.0</v>
      </c>
      <c r="G6" s="3">
        <v>3.0</v>
      </c>
      <c r="H6" s="8">
        <f t="shared" si="1"/>
        <v>10</v>
      </c>
    </row>
    <row r="7">
      <c r="B7" s="4">
        <v>45788.0</v>
      </c>
      <c r="C7" s="3" t="s">
        <v>21</v>
      </c>
      <c r="D7" s="3">
        <v>3.0</v>
      </c>
      <c r="E7" s="3">
        <v>3.0</v>
      </c>
      <c r="F7" s="1"/>
      <c r="G7" s="3">
        <v>3.0</v>
      </c>
      <c r="H7" s="8">
        <f t="shared" si="1"/>
        <v>9</v>
      </c>
    </row>
    <row r="8">
      <c r="B8" s="4">
        <v>45795.0</v>
      </c>
      <c r="C8" s="3" t="s">
        <v>21</v>
      </c>
      <c r="D8" s="3">
        <v>3.0</v>
      </c>
      <c r="E8" s="3">
        <v>5.0</v>
      </c>
      <c r="F8" s="1"/>
      <c r="G8" s="3">
        <v>6.0</v>
      </c>
      <c r="H8" s="8">
        <f t="shared" si="1"/>
        <v>14</v>
      </c>
    </row>
    <row r="9">
      <c r="B9" s="4">
        <v>45802.0</v>
      </c>
      <c r="C9" s="3" t="s">
        <v>21</v>
      </c>
      <c r="D9" s="3">
        <v>3.0</v>
      </c>
      <c r="E9" s="3">
        <v>5.0</v>
      </c>
      <c r="F9" s="1"/>
      <c r="G9" s="3">
        <v>2.0</v>
      </c>
      <c r="H9" s="8">
        <f t="shared" si="1"/>
        <v>10</v>
      </c>
    </row>
    <row r="10">
      <c r="B10" s="4">
        <v>45809.0</v>
      </c>
      <c r="C10" s="3" t="s">
        <v>22</v>
      </c>
      <c r="D10" s="3">
        <v>2.0</v>
      </c>
      <c r="E10" s="1"/>
      <c r="F10" s="3">
        <v>3.0</v>
      </c>
      <c r="G10" s="1"/>
      <c r="H10" s="8">
        <f t="shared" si="1"/>
        <v>5</v>
      </c>
    </row>
    <row r="11">
      <c r="B11" s="4">
        <v>45816.0</v>
      </c>
      <c r="C11" s="3" t="s">
        <v>22</v>
      </c>
      <c r="D11" s="3">
        <v>2.0</v>
      </c>
      <c r="E11" s="1"/>
      <c r="F11" s="3">
        <v>3.0</v>
      </c>
      <c r="G11" s="1"/>
      <c r="H11" s="8">
        <f t="shared" si="1"/>
        <v>5</v>
      </c>
    </row>
    <row r="12">
      <c r="B12" s="4">
        <v>45823.0</v>
      </c>
      <c r="C12" s="3" t="s">
        <v>22</v>
      </c>
      <c r="D12" s="3">
        <v>2.0</v>
      </c>
      <c r="E12" s="1"/>
      <c r="F12" s="3">
        <v>4.0</v>
      </c>
      <c r="G12" s="1"/>
      <c r="H12" s="8">
        <f t="shared" si="1"/>
        <v>6</v>
      </c>
    </row>
    <row r="13">
      <c r="B13" s="4">
        <v>45830.0</v>
      </c>
      <c r="C13" s="3" t="s">
        <v>22</v>
      </c>
      <c r="D13" s="3">
        <v>3.0</v>
      </c>
      <c r="E13" s="1"/>
      <c r="F13" s="3">
        <v>3.0</v>
      </c>
      <c r="G13" s="1"/>
      <c r="H13" s="8">
        <f t="shared" si="1"/>
        <v>6</v>
      </c>
    </row>
    <row r="14">
      <c r="B14" s="4">
        <v>45837.0</v>
      </c>
      <c r="C14" s="3" t="s">
        <v>22</v>
      </c>
      <c r="D14" s="3">
        <v>4.0</v>
      </c>
      <c r="E14" s="1"/>
      <c r="F14" s="3">
        <v>2.0</v>
      </c>
      <c r="G14" s="1"/>
      <c r="H14" s="8">
        <f t="shared" si="1"/>
        <v>6</v>
      </c>
    </row>
  </sheetData>
  <drawing r:id="rId1"/>
</worksheet>
</file>