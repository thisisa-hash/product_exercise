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echcorp-my.sharepoint.com/personal/luisfelipe_delgadillo_ourlotto_com/Documents/Documents/Luis Delgadillo/Novi/"/>
    </mc:Choice>
  </mc:AlternateContent>
  <xr:revisionPtr revIDLastSave="551" documentId="8_{E0400C45-1117-4659-9439-268FC0D51D96}" xr6:coauthVersionLast="47" xr6:coauthVersionMax="47" xr10:uidLastSave="{3C9F712F-086B-440E-A3D3-2B668999EB30}"/>
  <bookViews>
    <workbookView xWindow="-108" yWindow="-108" windowWidth="23256" windowHeight="12456" activeTab="2" xr2:uid="{A4B9413B-C907-408E-840C-A84A4D18DC73}"/>
  </bookViews>
  <sheets>
    <sheet name="Google Analytics" sheetId="4" r:id="rId1"/>
    <sheet name="Definiciones" sheetId="2" r:id="rId2"/>
    <sheet name="Data and Graphics" sheetId="1" r:id="rId3"/>
  </sheets>
  <definedNames>
    <definedName name="_xlchart.v1.0" hidden="1">'Google Analytics'!$C$42:$C$44</definedName>
    <definedName name="_xlchart.v1.1" hidden="1">'Google Analytics'!$D$42:$D$44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  <c r="I18" i="1"/>
  <c r="G18" i="1"/>
  <c r="U18" i="1"/>
  <c r="T18" i="1"/>
  <c r="O27" i="4"/>
  <c r="N11" i="4"/>
  <c r="O11" i="4" s="1"/>
  <c r="G10" i="4" l="1"/>
  <c r="G6" i="4"/>
  <c r="N7" i="4"/>
  <c r="G9" i="4"/>
  <c r="N6" i="4"/>
  <c r="G7" i="4"/>
  <c r="G8" i="4"/>
  <c r="W24" i="1"/>
  <c r="V24" i="1"/>
  <c r="AX11" i="1"/>
  <c r="AY11" i="1"/>
  <c r="AZ11" i="1"/>
  <c r="AX12" i="1"/>
  <c r="AY12" i="1"/>
  <c r="AZ12" i="1"/>
  <c r="AV11" i="1"/>
  <c r="AW11" i="1"/>
  <c r="AV12" i="1"/>
  <c r="AW12" i="1"/>
  <c r="AU12" i="1"/>
  <c r="AU11" i="1"/>
  <c r="F5" i="1" l="1"/>
  <c r="F6" i="1"/>
  <c r="F7" i="1"/>
  <c r="F8" i="1"/>
  <c r="F9" i="1"/>
  <c r="F10" i="1"/>
  <c r="F11" i="1"/>
  <c r="F12" i="1"/>
  <c r="F13" i="1"/>
  <c r="F14" i="1"/>
  <c r="F15" i="1"/>
  <c r="F4" i="1"/>
  <c r="O5" i="1"/>
  <c r="O6" i="1"/>
  <c r="O7" i="1"/>
  <c r="O8" i="1"/>
  <c r="O9" i="1"/>
  <c r="O10" i="1"/>
  <c r="O11" i="1"/>
  <c r="O12" i="1"/>
  <c r="O13" i="1"/>
  <c r="O14" i="1"/>
  <c r="O15" i="1"/>
  <c r="O4" i="1"/>
  <c r="U4" i="1"/>
  <c r="U5" i="1"/>
  <c r="U6" i="1"/>
  <c r="U7" i="1"/>
  <c r="U8" i="1"/>
  <c r="U9" i="1"/>
  <c r="U10" i="1"/>
  <c r="U11" i="1"/>
  <c r="U12" i="1"/>
  <c r="U13" i="1"/>
  <c r="U14" i="1"/>
  <c r="U15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H4" i="1"/>
  <c r="J4" i="1" s="1"/>
  <c r="H5" i="1"/>
  <c r="J5" i="1" s="1"/>
  <c r="H6" i="1"/>
  <c r="J6" i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/>
  <c r="H14" i="1"/>
  <c r="J14" i="1" s="1"/>
  <c r="H15" i="1"/>
  <c r="J15" i="1" s="1"/>
  <c r="H3" i="1"/>
  <c r="J3" i="1" s="1"/>
</calcChain>
</file>

<file path=xl/sharedStrings.xml><?xml version="1.0" encoding="utf-8"?>
<sst xmlns="http://schemas.openxmlformats.org/spreadsheetml/2006/main" count="209" uniqueCount="127">
  <si>
    <t>Week</t>
  </si>
  <si>
    <t>Month</t>
  </si>
  <si>
    <t># of Missions</t>
  </si>
  <si>
    <t>Public</t>
  </si>
  <si>
    <t>Private</t>
  </si>
  <si>
    <t>Optins</t>
  </si>
  <si>
    <t>Completions</t>
  </si>
  <si>
    <t>Conversion Rate</t>
  </si>
  <si>
    <t>April</t>
  </si>
  <si>
    <t>May</t>
  </si>
  <si>
    <t>June</t>
  </si>
  <si>
    <t># Week</t>
  </si>
  <si>
    <t>Column</t>
  </si>
  <si>
    <t>Definition</t>
  </si>
  <si>
    <t>a mission that is available to the whole customer base</t>
  </si>
  <si>
    <t>a mission that is available only to specific segments - not everyone can see and particpate</t>
  </si>
  <si>
    <t>how many optins we have, given the number of available missions</t>
  </si>
  <si>
    <t>how many completions we have, given the number of available missions</t>
  </si>
  <si>
    <t>Active Users</t>
  </si>
  <si>
    <t>the customer base that logged in during a given week</t>
  </si>
  <si>
    <t>Active Users with at least 1 Opt In</t>
  </si>
  <si>
    <t>the customer base that opted in to at least one mission during a given week</t>
  </si>
  <si>
    <t>Active Users with at least 1 Completion</t>
  </si>
  <si>
    <t>the customer base that completed at least one mission during a given week</t>
  </si>
  <si>
    <t>Football Missions</t>
  </si>
  <si>
    <t>Basketball Missions</t>
  </si>
  <si>
    <t>Tennis Missions</t>
  </si>
  <si>
    <t>Mixed Missions</t>
  </si>
  <si>
    <t>% Public</t>
  </si>
  <si>
    <t>% Private</t>
  </si>
  <si>
    <t>%</t>
  </si>
  <si>
    <t>% Opt In</t>
  </si>
  <si>
    <t>% Completion</t>
  </si>
  <si>
    <t>Opt Ins per User</t>
  </si>
  <si>
    <t>Completion per User</t>
  </si>
  <si>
    <t>% Growth</t>
  </si>
  <si>
    <t>% Growth Missions</t>
  </si>
  <si>
    <t>Row Labels</t>
  </si>
  <si>
    <t>Grand Total</t>
  </si>
  <si>
    <t>Sum of # of Missions</t>
  </si>
  <si>
    <t>Sum of Football Missions</t>
  </si>
  <si>
    <t>Sum of Basketball Missions</t>
  </si>
  <si>
    <t>Sum of Tennis Missions</t>
  </si>
  <si>
    <t>Sum of Mixed Missions</t>
  </si>
  <si>
    <t>Avg Private</t>
  </si>
  <si>
    <t>Average AU</t>
  </si>
  <si>
    <t>Avg Public</t>
  </si>
  <si>
    <t>Avg # Missions</t>
  </si>
  <si>
    <t>Avg AU at least 1 Opt In</t>
  </si>
  <si>
    <t>Avg AU at least 1 Completion</t>
  </si>
  <si>
    <t>Total</t>
  </si>
  <si>
    <t># Missions</t>
  </si>
  <si>
    <t xml:space="preserve"> Public</t>
  </si>
  <si>
    <t xml:space="preserve"> Private</t>
  </si>
  <si>
    <t xml:space="preserve"> Active Users</t>
  </si>
  <si>
    <t>AU at least 1 Opt In</t>
  </si>
  <si>
    <t>AU at least 1 Completion</t>
  </si>
  <si>
    <t>Monthly varation</t>
  </si>
  <si>
    <t>Football</t>
  </si>
  <si>
    <t>Basketball</t>
  </si>
  <si>
    <t>Tennis</t>
  </si>
  <si>
    <t>Mixed</t>
  </si>
  <si>
    <t>Casino</t>
  </si>
  <si>
    <t>Monthly avg varation</t>
  </si>
  <si>
    <t>filters</t>
  </si>
  <si>
    <t>time period</t>
  </si>
  <si>
    <t>Note: all table contents serve as filters</t>
  </si>
  <si>
    <t>Top of funnel</t>
  </si>
  <si>
    <t>type of offer</t>
  </si>
  <si>
    <t>Impressions of offers page</t>
  </si>
  <si>
    <t>Impressions per Entry point</t>
  </si>
  <si>
    <t>Total Users</t>
  </si>
  <si>
    <t>Source</t>
  </si>
  <si>
    <t>#</t>
  </si>
  <si>
    <t>Type of user</t>
  </si>
  <si>
    <t>Paid other</t>
  </si>
  <si>
    <t>Gift Icon</t>
  </si>
  <si>
    <t>Paid google</t>
  </si>
  <si>
    <t>Main menu</t>
  </si>
  <si>
    <t>Referral</t>
  </si>
  <si>
    <t>Mailing offer</t>
  </si>
  <si>
    <t>Organic</t>
  </si>
  <si>
    <t>Push notification</t>
  </si>
  <si>
    <t>(pie chart)</t>
  </si>
  <si>
    <t>…</t>
  </si>
  <si>
    <t>Direct</t>
  </si>
  <si>
    <t>Total impressions</t>
  </si>
  <si>
    <t>(bar chart vs x goal)</t>
  </si>
  <si>
    <t>(Pie chart)</t>
  </si>
  <si>
    <t>Bounce rate</t>
  </si>
  <si>
    <t>Mid funnel</t>
  </si>
  <si>
    <t>Scroll depth</t>
  </si>
  <si>
    <t>Offer banners views</t>
  </si>
  <si>
    <t>Most popular sections</t>
  </si>
  <si>
    <t>Average time on offers page:</t>
  </si>
  <si>
    <t>% users</t>
  </si>
  <si>
    <t>Banner</t>
  </si>
  <si>
    <t>CTR</t>
  </si>
  <si>
    <t>Section</t>
  </si>
  <si>
    <t>% clicks</t>
  </si>
  <si>
    <t>Offer banner 1</t>
  </si>
  <si>
    <t>All</t>
  </si>
  <si>
    <t>Offer banner 2</t>
  </si>
  <si>
    <t>Sports</t>
  </si>
  <si>
    <t>Offer banner 3</t>
  </si>
  <si>
    <t>Offer banner 4</t>
  </si>
  <si>
    <t>Average CTR:</t>
  </si>
  <si>
    <t>Low funnel</t>
  </si>
  <si>
    <t>CTA conversions</t>
  </si>
  <si>
    <t>Redemption conversions</t>
  </si>
  <si>
    <t>Action</t>
  </si>
  <si>
    <t>Regístrate</t>
  </si>
  <si>
    <t>Play</t>
  </si>
  <si>
    <t>Juega</t>
  </si>
  <si>
    <t>Register</t>
  </si>
  <si>
    <t>Quiero la oferta</t>
  </si>
  <si>
    <t>Deposit</t>
  </si>
  <si>
    <t>New users</t>
  </si>
  <si>
    <t>Actual users</t>
  </si>
  <si>
    <t>Goal Impressions</t>
  </si>
  <si>
    <t>Missing impressions</t>
  </si>
  <si>
    <t>5:41 min</t>
  </si>
  <si>
    <t>Button</t>
  </si>
  <si>
    <t>Average</t>
  </si>
  <si>
    <t>AU 1 Completion Varation</t>
  </si>
  <si>
    <t>AU Varation</t>
  </si>
  <si>
    <t>AU 1 Optin Varation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</si>
</sst>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1" xfId="1" applyFont="1" applyBorder="1" applyAlignment="1">
      <alignment vertical="center" wrapText="1"/>
    </xf>
    <xf numFmtId="165" fontId="4" fillId="0" borderId="1" xfId="2" applyNumberFormat="1" applyFont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10" fontId="4" fillId="0" borderId="1" xfId="2" applyNumberFormat="1" applyFont="1" applyBorder="1" applyAlignment="1">
      <alignment vertical="center" wrapText="1"/>
    </xf>
    <xf numFmtId="43" fontId="4" fillId="0" borderId="0" xfId="1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5" fontId="4" fillId="0" borderId="3" xfId="2" applyNumberFormat="1" applyFont="1" applyBorder="1" applyAlignment="1">
      <alignment horizontal="center" vertical="center" wrapText="1"/>
    </xf>
    <xf numFmtId="9" fontId="4" fillId="0" borderId="3" xfId="2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vertical="center" wrapText="1"/>
    </xf>
    <xf numFmtId="10" fontId="4" fillId="0" borderId="3" xfId="2" applyNumberFormat="1" applyFont="1" applyBorder="1" applyAlignment="1">
      <alignment vertical="center" wrapText="1"/>
    </xf>
    <xf numFmtId="43" fontId="4" fillId="0" borderId="3" xfId="1" applyFont="1" applyBorder="1" applyAlignment="1">
      <alignment vertical="center" wrapText="1"/>
    </xf>
    <xf numFmtId="43" fontId="4" fillId="0" borderId="3" xfId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4" fillId="0" borderId="4" xfId="2" applyNumberFormat="1" applyFont="1" applyBorder="1" applyAlignment="1">
      <alignment horizontal="center" vertical="center" wrapText="1"/>
    </xf>
    <xf numFmtId="9" fontId="4" fillId="0" borderId="4" xfId="2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vertical="center" wrapText="1"/>
    </xf>
    <xf numFmtId="10" fontId="4" fillId="0" borderId="4" xfId="2" applyNumberFormat="1" applyFont="1" applyBorder="1" applyAlignment="1">
      <alignment vertical="center" wrapText="1"/>
    </xf>
    <xf numFmtId="43" fontId="4" fillId="0" borderId="4" xfId="1" applyFont="1" applyBorder="1" applyAlignment="1">
      <alignment vertical="center" wrapText="1"/>
    </xf>
    <xf numFmtId="43" fontId="4" fillId="0" borderId="4" xfId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5" fontId="4" fillId="0" borderId="6" xfId="2" applyNumberFormat="1" applyFont="1" applyBorder="1" applyAlignment="1">
      <alignment horizontal="center" vertical="center" wrapText="1"/>
    </xf>
    <xf numFmtId="9" fontId="4" fillId="0" borderId="6" xfId="2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vertical="center" wrapText="1"/>
    </xf>
    <xf numFmtId="10" fontId="4" fillId="0" borderId="6" xfId="2" applyNumberFormat="1" applyFont="1" applyBorder="1" applyAlignment="1">
      <alignment vertical="center" wrapText="1"/>
    </xf>
    <xf numFmtId="43" fontId="4" fillId="0" borderId="6" xfId="1" applyFont="1" applyBorder="1" applyAlignment="1">
      <alignment vertical="center" wrapText="1"/>
    </xf>
    <xf numFmtId="43" fontId="4" fillId="0" borderId="6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4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5" fontId="4" fillId="0" borderId="11" xfId="2" applyNumberFormat="1" applyFont="1" applyBorder="1" applyAlignment="1">
      <alignment horizontal="center" vertical="center" wrapText="1"/>
    </xf>
    <xf numFmtId="9" fontId="4" fillId="0" borderId="11" xfId="2" applyFont="1" applyBorder="1" applyAlignment="1">
      <alignment horizontal="center" vertical="center" wrapText="1"/>
    </xf>
    <xf numFmtId="164" fontId="4" fillId="0" borderId="11" xfId="1" applyNumberFormat="1" applyFont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 wrapText="1"/>
    </xf>
    <xf numFmtId="164" fontId="4" fillId="0" borderId="11" xfId="1" applyNumberFormat="1" applyFont="1" applyBorder="1" applyAlignment="1">
      <alignment vertical="center" wrapText="1"/>
    </xf>
    <xf numFmtId="10" fontId="4" fillId="0" borderId="11" xfId="2" applyNumberFormat="1" applyFont="1" applyBorder="1" applyAlignment="1">
      <alignment vertical="center" wrapText="1"/>
    </xf>
    <xf numFmtId="43" fontId="4" fillId="0" borderId="11" xfId="1" applyFont="1" applyBorder="1" applyAlignment="1">
      <alignment vertical="center" wrapText="1"/>
    </xf>
    <xf numFmtId="43" fontId="4" fillId="0" borderId="11" xfId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/>
    <xf numFmtId="0" fontId="0" fillId="4" borderId="1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15" xfId="2" applyNumberFormat="1" applyFont="1" applyBorder="1" applyAlignment="1">
      <alignment horizontal="center"/>
    </xf>
    <xf numFmtId="165" fontId="0" fillId="0" borderId="13" xfId="2" applyNumberFormat="1" applyFont="1" applyBorder="1" applyAlignment="1">
      <alignment horizontal="center"/>
    </xf>
    <xf numFmtId="165" fontId="0" fillId="0" borderId="17" xfId="2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0" fillId="0" borderId="16" xfId="2" applyNumberFormat="1" applyFont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10" fontId="0" fillId="0" borderId="13" xfId="2" applyNumberFormat="1" applyFont="1" applyBorder="1" applyAlignment="1">
      <alignment horizontal="center"/>
    </xf>
    <xf numFmtId="165" fontId="0" fillId="0" borderId="10" xfId="2" applyNumberFormat="1" applyFont="1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165" fontId="0" fillId="0" borderId="19" xfId="2" applyNumberFormat="1" applyFont="1" applyBorder="1" applyAlignment="1">
      <alignment horizontal="center"/>
    </xf>
    <xf numFmtId="165" fontId="0" fillId="0" borderId="20" xfId="2" applyNumberFormat="1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43" fontId="4" fillId="0" borderId="0" xfId="1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10" fontId="4" fillId="0" borderId="28" xfId="0" applyNumberFormat="1" applyFont="1" applyBorder="1" applyAlignment="1">
      <alignment horizontal="center" vertical="center" wrapText="1"/>
    </xf>
    <xf numFmtId="9" fontId="4" fillId="0" borderId="28" xfId="2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4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10" fontId="4" fillId="0" borderId="33" xfId="0" applyNumberFormat="1" applyFont="1" applyBorder="1" applyAlignment="1">
      <alignment horizontal="center" vertical="center" wrapText="1"/>
    </xf>
    <xf numFmtId="9" fontId="4" fillId="0" borderId="33" xfId="2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6" fillId="0" borderId="0" xfId="3"/>
    <xf numFmtId="0" fontId="6" fillId="0" borderId="1" xfId="3" applyBorder="1"/>
    <xf numFmtId="3" fontId="6" fillId="0" borderId="1" xfId="3" applyNumberFormat="1" applyBorder="1"/>
    <xf numFmtId="9" fontId="6" fillId="0" borderId="1" xfId="3" applyNumberFormat="1" applyBorder="1"/>
    <xf numFmtId="10" fontId="0" fillId="0" borderId="1" xfId="4" applyNumberFormat="1" applyFont="1" applyBorder="1"/>
    <xf numFmtId="9" fontId="0" fillId="0" borderId="1" xfId="4" applyFont="1" applyBorder="1"/>
    <xf numFmtId="0" fontId="8" fillId="4" borderId="1" xfId="3" applyFont="1" applyFill="1" applyBorder="1" applyAlignment="1">
      <alignment horizontal="center"/>
    </xf>
    <xf numFmtId="0" fontId="6" fillId="0" borderId="1" xfId="3" applyBorder="1" applyAlignment="1">
      <alignment horizontal="center"/>
    </xf>
    <xf numFmtId="3" fontId="6" fillId="0" borderId="1" xfId="3" applyNumberFormat="1" applyBorder="1" applyAlignment="1">
      <alignment horizontal="center"/>
    </xf>
    <xf numFmtId="0" fontId="5" fillId="3" borderId="35" xfId="0" applyFont="1" applyFill="1" applyBorder="1" applyAlignment="1">
      <alignment vertical="center"/>
    </xf>
    <xf numFmtId="164" fontId="6" fillId="0" borderId="1" xfId="1" applyNumberFormat="1" applyFont="1" applyBorder="1"/>
    <xf numFmtId="10" fontId="9" fillId="0" borderId="0" xfId="3" applyNumberFormat="1" applyFont="1" applyAlignment="1">
      <alignment horizontal="center" vertical="center"/>
    </xf>
    <xf numFmtId="0" fontId="6" fillId="0" borderId="37" xfId="3" applyBorder="1"/>
    <xf numFmtId="0" fontId="7" fillId="0" borderId="42" xfId="3" applyFont="1" applyBorder="1"/>
    <xf numFmtId="0" fontId="6" fillId="0" borderId="42" xfId="3" applyBorder="1"/>
    <xf numFmtId="0" fontId="6" fillId="0" borderId="38" xfId="3" applyBorder="1"/>
    <xf numFmtId="0" fontId="6" fillId="0" borderId="36" xfId="3" applyBorder="1"/>
    <xf numFmtId="0" fontId="6" fillId="0" borderId="39" xfId="3" applyBorder="1"/>
    <xf numFmtId="0" fontId="6" fillId="0" borderId="0" xfId="3" applyAlignment="1">
      <alignment horizontal="center"/>
    </xf>
    <xf numFmtId="0" fontId="7" fillId="0" borderId="0" xfId="3" applyFont="1"/>
    <xf numFmtId="0" fontId="6" fillId="0" borderId="40" xfId="3" applyBorder="1"/>
    <xf numFmtId="0" fontId="6" fillId="0" borderId="43" xfId="3" applyBorder="1"/>
    <xf numFmtId="0" fontId="6" fillId="0" borderId="41" xfId="3" applyBorder="1"/>
    <xf numFmtId="10" fontId="9" fillId="0" borderId="43" xfId="3" applyNumberFormat="1" applyFont="1" applyBorder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0" fontId="0" fillId="0" borderId="0" xfId="0" pivotButton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23" xfId="2" applyNumberFormat="1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10" fontId="9" fillId="0" borderId="37" xfId="3" applyNumberFormat="1" applyFont="1" applyBorder="1" applyAlignment="1">
      <alignment horizontal="center" vertical="center"/>
    </xf>
    <xf numFmtId="10" fontId="9" fillId="0" borderId="38" xfId="3" applyNumberFormat="1" applyFont="1" applyBorder="1" applyAlignment="1">
      <alignment horizontal="center" vertical="center"/>
    </xf>
    <xf numFmtId="10" fontId="9" fillId="0" borderId="40" xfId="3" applyNumberFormat="1" applyFont="1" applyBorder="1" applyAlignment="1">
      <alignment horizontal="center" vertical="center"/>
    </xf>
    <xf numFmtId="10" fontId="9" fillId="0" borderId="41" xfId="3" applyNumberFormat="1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10" fontId="9" fillId="0" borderId="36" xfId="3" applyNumberFormat="1" applyFont="1" applyBorder="1" applyAlignment="1">
      <alignment horizontal="center" vertical="center"/>
    </xf>
    <xf numFmtId="10" fontId="9" fillId="0" borderId="39" xfId="3" applyNumberFormat="1" applyFont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18" xfId="0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3" xr:uid="{012F539B-0A08-4E8A-8E9A-3E010242673E}"/>
    <cellStyle name="Percent" xfId="2" builtinId="5"/>
    <cellStyle name="Percent 2" xfId="4" xr:uid="{A60FB3F9-1821-436A-ADBC-359989E469D6}"/>
  </cellStyles>
  <dxfs count="14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Total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08-4FF6-BC38-046813726F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08-4FF6-BC38-046813726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Analytics'!$M$6:$M$7</c:f>
              <c:strCache>
                <c:ptCount val="2"/>
                <c:pt idx="0">
                  <c:v>New users</c:v>
                </c:pt>
                <c:pt idx="1">
                  <c:v>Actual users</c:v>
                </c:pt>
              </c:strCache>
            </c:strRef>
          </c:cat>
          <c:val>
            <c:numRef>
              <c:f>'Google Analytics'!$N$6:$N$7</c:f>
              <c:numCache>
                <c:formatCode>#,##0</c:formatCode>
                <c:ptCount val="2"/>
                <c:pt idx="0">
                  <c:v>6428495.1599999992</c:v>
                </c:pt>
                <c:pt idx="1">
                  <c:v>4285663.4400000004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0-4A70-AFE3-84ECB27E675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Total 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1"/>
          <c:order val="0"/>
          <c:tx>
            <c:strRef>
              <c:f>'Google Analytics'!$N$10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'Google Analytics'!$N$11</c:f>
              <c:numCache>
                <c:formatCode>_-* #,##0_-;\-* #,##0_-;_-* "-"??_-;_-@_-</c:formatCode>
                <c:ptCount val="1"/>
                <c:pt idx="0">
                  <c:v>17856931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DA-49F4-8680-EA702F5A828F}"/>
            </c:ext>
          </c:extLst>
        </c:ser>
        <c:ser>
          <c:idx val="0"/>
          <c:order val="1"/>
          <c:tx>
            <c:strRef>
              <c:f>'Google Analytics'!$M$10</c:f>
              <c:strCache>
                <c:ptCount val="1"/>
                <c:pt idx="0">
                  <c:v>Goal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'Google Analytics'!$O$11</c:f>
              <c:numCache>
                <c:formatCode>_-* #,##0_-;\-* #,##0_-;_-* "-"??_-;_-@_-</c:formatCode>
                <c:ptCount val="1"/>
                <c:pt idx="0">
                  <c:v>12143069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A-49F4-8680-EA702F5A82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76578512"/>
        <c:axId val="476582832"/>
      </c:barChart>
      <c:catAx>
        <c:axId val="476578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76582832"/>
        <c:crosses val="autoZero"/>
        <c:auto val="1"/>
        <c:lblAlgn val="ctr"/>
        <c:lblOffset val="100"/>
        <c:noMultiLvlLbl val="0"/>
      </c:catAx>
      <c:valAx>
        <c:axId val="47658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657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40-457B-A8A9-95EF857C37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40-457B-A8A9-95EF857C37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40-457B-A8A9-95EF857C37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40-457B-A8A9-95EF857C37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40-457B-A8A9-95EF857C37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Analytics'!$F$6:$F$10</c:f>
              <c:strCache>
                <c:ptCount val="5"/>
                <c:pt idx="0">
                  <c:v>Gift Icon</c:v>
                </c:pt>
                <c:pt idx="1">
                  <c:v>Main menu</c:v>
                </c:pt>
                <c:pt idx="2">
                  <c:v>Mailing offer</c:v>
                </c:pt>
                <c:pt idx="3">
                  <c:v>Push notification</c:v>
                </c:pt>
                <c:pt idx="4">
                  <c:v>Direct</c:v>
                </c:pt>
              </c:strCache>
            </c:strRef>
          </c:cat>
          <c:val>
            <c:numRef>
              <c:f>'Google Analytics'!$G$6:$G$10</c:f>
              <c:numCache>
                <c:formatCode>#,##0</c:formatCode>
                <c:ptCount val="5"/>
                <c:pt idx="0">
                  <c:v>5357079.3</c:v>
                </c:pt>
                <c:pt idx="1">
                  <c:v>3571386.2</c:v>
                </c:pt>
                <c:pt idx="2">
                  <c:v>2678539.65</c:v>
                </c:pt>
                <c:pt idx="3">
                  <c:v>1785693.1</c:v>
                </c:pt>
                <c:pt idx="4">
                  <c:v>892846.55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0-4848-9708-37D07B5B94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Most popular sections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9B-4EBC-98BF-B7B3D4203E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9B-4EBC-98BF-B7B3D4203E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9B-4EBC-98BF-B7B3D4203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'Google Analytics'!$N$27:$N$29</c:f>
              <c:strCache>
                <c:ptCount val="3"/>
                <c:pt idx="0">
                  <c:v>All</c:v>
                </c:pt>
                <c:pt idx="1">
                  <c:v>Sports</c:v>
                </c:pt>
                <c:pt idx="2">
                  <c:v>Casino</c:v>
                </c:pt>
              </c:strCache>
            </c:strRef>
          </c:cat>
          <c:val>
            <c:numRef>
              <c:f>'Google Analytics'!$O$27:$O$29</c:f>
              <c:numCache>
                <c:formatCode>0%</c:formatCode>
                <c:ptCount val="3"/>
                <c:pt idx="0">
                  <c:v>0.20999999999999996</c:v>
                </c:pt>
                <c:pt idx="1">
                  <c:v>0.42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3-46E4-9947-A6D17236274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'Google Analytics'!$I$40:$I$41</c:f>
              <c:strCache>
                <c:ptCount val="2"/>
                <c:pt idx="0">
                  <c:v>Redemption conversions</c:v>
                </c:pt>
                <c:pt idx="1">
                  <c:v>#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'Google Analytics'!$H$42:$H$44</c:f>
              <c:strCache>
                <c:ptCount val="3"/>
                <c:pt idx="0">
                  <c:v>Play</c:v>
                </c:pt>
                <c:pt idx="1">
                  <c:v>Register</c:v>
                </c:pt>
                <c:pt idx="2">
                  <c:v>Deposit</c:v>
                </c:pt>
              </c:strCache>
            </c:strRef>
          </c:cat>
          <c:val>
            <c:numRef>
              <c:f>'Google Analytics'!$I$42:$I$44</c:f>
              <c:numCache>
                <c:formatCode>#,##0</c:formatCode>
                <c:ptCount val="3"/>
                <c:pt idx="0">
                  <c:v>3827480</c:v>
                </c:pt>
                <c:pt idx="1">
                  <c:v>1940392</c:v>
                </c:pt>
                <c:pt idx="2">
                  <c:v>1839274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2-4FD3-A385-69B74A2B3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048256"/>
        <c:axId val="611046816"/>
      </c:barChart>
      <c:catAx>
        <c:axId val="6110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1046816"/>
        <c:crosses val="autoZero"/>
        <c:auto val="1"/>
        <c:lblAlgn val="ctr"/>
        <c:lblOffset val="100"/>
        <c:noMultiLvlLbl val="0"/>
      </c:catAx>
      <c:valAx>
        <c:axId val="61104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104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# Missions</a:t>
            </a:r>
            <a:r>
              <a:rPr lang="es-MX" baseline="0"/>
              <a:t> vs Active Users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and Graphics'!$N$2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and Graphics'!$E$3:$E$15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5</c:v>
                </c:pt>
                <c:pt idx="4">
                  <c:v>10</c:v>
                </c:pt>
                <c:pt idx="5">
                  <c:v>9</c:v>
                </c:pt>
                <c:pt idx="6">
                  <c:v>14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E-49FC-9C67-DF846879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826144"/>
        <c:axId val="478827944"/>
      </c:barChart>
      <c:lineChart>
        <c:grouping val="standard"/>
        <c:varyColors val="0"/>
        <c:ser>
          <c:idx val="1"/>
          <c:order val="1"/>
          <c:tx>
            <c:strRef>
              <c:f>'Data and Graphics'!$E$2</c:f>
              <c:strCache>
                <c:ptCount val="1"/>
                <c:pt idx="0">
                  <c:v># of Missions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'Data and Graphics'!$N$3:$N$15</c:f>
              <c:numCache>
                <c:formatCode>_-* #,##0_-;\-* #,##0_-;_-* "-"??_-;_-@_-</c:formatCode>
                <c:ptCount val="13"/>
                <c:pt idx="0">
                  <c:v>23000</c:v>
                </c:pt>
                <c:pt idx="1">
                  <c:v>23120</c:v>
                </c:pt>
                <c:pt idx="2">
                  <c:v>24100</c:v>
                </c:pt>
                <c:pt idx="3">
                  <c:v>25320</c:v>
                </c:pt>
                <c:pt idx="4">
                  <c:v>25800</c:v>
                </c:pt>
                <c:pt idx="5">
                  <c:v>27100</c:v>
                </c:pt>
                <c:pt idx="6">
                  <c:v>29100</c:v>
                </c:pt>
                <c:pt idx="7">
                  <c:v>28200</c:v>
                </c:pt>
                <c:pt idx="8">
                  <c:v>27830</c:v>
                </c:pt>
                <c:pt idx="9">
                  <c:v>27820</c:v>
                </c:pt>
                <c:pt idx="10">
                  <c:v>27340</c:v>
                </c:pt>
                <c:pt idx="11">
                  <c:v>27360</c:v>
                </c:pt>
                <c:pt idx="12">
                  <c:v>27410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E-49FC-9C67-DF846879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050168"/>
        <c:axId val="300494096"/>
      </c:lineChart>
      <c:catAx>
        <c:axId val="86005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0494096"/>
        <c:crosses val="autoZero"/>
        <c:auto val="1"/>
        <c:lblAlgn val="ctr"/>
        <c:lblOffset val="100"/>
        <c:noMultiLvlLbl val="0"/>
      </c:catAx>
      <c:valAx>
        <c:axId val="300494096"/>
        <c:scaling>
          <c:orientation val="minMax"/>
          <c:min val="2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0050168"/>
        <c:crosses val="autoZero"/>
        <c:crossBetween val="between"/>
      </c:valAx>
      <c:valAx>
        <c:axId val="478827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8826144"/>
        <c:crosses val="max"/>
        <c:crossBetween val="between"/>
      </c:valAx>
      <c:catAx>
        <c:axId val="478826144"/>
        <c:scaling>
          <c:orientation val="minMax"/>
        </c:scaling>
        <c:delete val="1"/>
        <c:axPos val="b"/>
        <c:majorTickMark val="out"/>
        <c:minorTickMark val="none"/>
        <c:tickLblPos val="nextTo"/>
        <c:crossAx val="478827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AU</a:t>
            </a:r>
            <a:r>
              <a:rPr lang="es-MX" baseline="0"/>
              <a:t> </a:t>
            </a:r>
            <a:r>
              <a:rPr lang="es-MX"/>
              <a:t>Opt in vs AU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Opt 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'Data and Graphics'!$P$3:$P$15</c:f>
              <c:numCache>
                <c:formatCode>_-* #,##0_-;\-* #,##0_-;_-* "-"??_-;_-@_-</c:formatCode>
                <c:ptCount val="13"/>
                <c:pt idx="0">
                  <c:v>3650</c:v>
                </c:pt>
                <c:pt idx="1">
                  <c:v>3710</c:v>
                </c:pt>
                <c:pt idx="2">
                  <c:v>3643</c:v>
                </c:pt>
                <c:pt idx="3">
                  <c:v>3900</c:v>
                </c:pt>
                <c:pt idx="4">
                  <c:v>4100</c:v>
                </c:pt>
                <c:pt idx="5">
                  <c:v>4320</c:v>
                </c:pt>
                <c:pt idx="6">
                  <c:v>4450</c:v>
                </c:pt>
                <c:pt idx="7">
                  <c:v>4610</c:v>
                </c:pt>
                <c:pt idx="8">
                  <c:v>4650</c:v>
                </c:pt>
                <c:pt idx="9">
                  <c:v>4603</c:v>
                </c:pt>
                <c:pt idx="10">
                  <c:v>4610</c:v>
                </c:pt>
                <c:pt idx="11">
                  <c:v>4660</c:v>
                </c:pt>
                <c:pt idx="12">
                  <c:v>4754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0-4A7B-8751-D3EEAC41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492200"/>
        <c:axId val="673489680"/>
      </c:lineChart>
      <c:lineChart>
        <c:grouping val="standard"/>
        <c:varyColors val="0"/>
        <c:ser>
          <c:idx val="1"/>
          <c:order val="1"/>
          <c:tx>
            <c:v>Completion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'Data and Graphics'!$R$3:$R$15</c:f>
              <c:numCache>
                <c:formatCode>_-* #,##0_-;\-* #,##0_-;_-* "-"??_-;_-@_-</c:formatCode>
                <c:ptCount val="13"/>
                <c:pt idx="0">
                  <c:v>2100</c:v>
                </c:pt>
                <c:pt idx="1">
                  <c:v>2045</c:v>
                </c:pt>
                <c:pt idx="2">
                  <c:v>2210</c:v>
                </c:pt>
                <c:pt idx="3">
                  <c:v>1980</c:v>
                </c:pt>
                <c:pt idx="4">
                  <c:v>2350</c:v>
                </c:pt>
                <c:pt idx="5">
                  <c:v>2410</c:v>
                </c:pt>
                <c:pt idx="6">
                  <c:v>2499</c:v>
                </c:pt>
                <c:pt idx="7">
                  <c:v>2231</c:v>
                </c:pt>
                <c:pt idx="8">
                  <c:v>1762</c:v>
                </c:pt>
                <c:pt idx="9">
                  <c:v>1634</c:v>
                </c:pt>
                <c:pt idx="10">
                  <c:v>1534</c:v>
                </c:pt>
                <c:pt idx="11">
                  <c:v>1612</c:v>
                </c:pt>
                <c:pt idx="12">
                  <c:v>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0-4A7B-8751-D3EEAC41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974592"/>
        <c:axId val="480140488"/>
      </c:lineChart>
      <c:catAx>
        <c:axId val="67349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3489680"/>
        <c:crosses val="autoZero"/>
        <c:auto val="1"/>
        <c:lblAlgn val="ctr"/>
        <c:lblOffset val="100"/>
        <c:noMultiLvlLbl val="0"/>
      </c:catAx>
      <c:valAx>
        <c:axId val="6734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3492200"/>
        <c:crosses val="autoZero"/>
        <c:crossBetween val="between"/>
      </c:valAx>
      <c:valAx>
        <c:axId val="48014048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1974592"/>
        <c:crosses val="max"/>
        <c:crossBetween val="between"/>
      </c:valAx>
      <c:catAx>
        <c:axId val="831974592"/>
        <c:scaling>
          <c:orientation val="minMax"/>
        </c:scaling>
        <c:delete val="1"/>
        <c:axPos val="b"/>
        <c:majorTickMark val="out"/>
        <c:minorTickMark val="none"/>
        <c:tickLblPos val="nextTo"/>
        <c:crossAx val="480140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# 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and Graphics'!$AM$3</c:f>
              <c:strCache>
                <c:ptCount val="1"/>
                <c:pt idx="0">
                  <c:v> 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and Graphics'!$AC$4:$AC$6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'Data and Graphics'!$AM$4:$AM$6</c:f>
              <c:numCache>
                <c:formatCode>General</c:formatCode>
                <c:ptCount val="3"/>
                <c:pt idx="0">
                  <c:v>25</c:v>
                </c:pt>
                <c:pt idx="1">
                  <c:v>28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D-4A88-8891-654C7773634B}"/>
            </c:ext>
          </c:extLst>
        </c:ser>
        <c:ser>
          <c:idx val="1"/>
          <c:order val="1"/>
          <c:tx>
            <c:strRef>
              <c:f>'Data and Graphics'!$AN$3</c:f>
              <c:strCache>
                <c:ptCount val="1"/>
                <c:pt idx="0">
                  <c:v> Private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and Graphics'!$AC$4:$AC$6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'Data and Graphics'!$AN$4:$AN$6</c:f>
              <c:numCache>
                <c:formatCode>General</c:formatCode>
                <c:ptCount val="3"/>
                <c:pt idx="0">
                  <c:v>3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D-4A88-8891-654C777363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71647960"/>
        <c:axId val="671645800"/>
      </c:barChart>
      <c:catAx>
        <c:axId val="67164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1645800"/>
        <c:crosses val="autoZero"/>
        <c:auto val="1"/>
        <c:lblAlgn val="ctr"/>
        <c:lblOffset val="100"/>
        <c:noMultiLvlLbl val="0"/>
      </c:catAx>
      <c:valAx>
        <c:axId val="671645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164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missions</a:t>
            </a:r>
            <a:r>
              <a:rPr lang="es-MX" baseline="0"/>
              <a:t> categories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and Graphics'!$AN$17</c:f>
              <c:strCache>
                <c:ptCount val="1"/>
                <c:pt idx="0">
                  <c:v>Football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and Graphics'!$AL$18:$AL$20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'Data and Graphics'!$AN$18:$AN$20</c:f>
              <c:numCache>
                <c:formatCode>General</c:formatCode>
                <c:ptCount val="3"/>
                <c:pt idx="0">
                  <c:v>16</c:v>
                </c:pt>
                <c:pt idx="1">
                  <c:v>15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B-4C4C-A2E6-438AC47DE4CB}"/>
            </c:ext>
          </c:extLst>
        </c:ser>
        <c:ser>
          <c:idx val="1"/>
          <c:order val="1"/>
          <c:tx>
            <c:strRef>
              <c:f>'Data and Graphics'!$AO$17</c:f>
              <c:strCache>
                <c:ptCount val="1"/>
                <c:pt idx="0">
                  <c:v>Basketball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and Graphics'!$AL$18:$AL$20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'Data and Graphics'!$AO$18:$AO$20</c:f>
              <c:numCache>
                <c:formatCode>General</c:formatCode>
                <c:ptCount val="3"/>
                <c:pt idx="0">
                  <c:v>9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B-4C4C-A2E6-438AC47DE4CB}"/>
            </c:ext>
          </c:extLst>
        </c:ser>
        <c:ser>
          <c:idx val="2"/>
          <c:order val="2"/>
          <c:tx>
            <c:strRef>
              <c:f>'Data and Graphics'!$AP$17</c:f>
              <c:strCache>
                <c:ptCount val="1"/>
                <c:pt idx="0">
                  <c:v>Tennis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and Graphics'!$AL$18:$AL$20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'Data and Graphics'!$AP$18:$AP$20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6B-4C4C-A2E6-438AC47DE4CB}"/>
            </c:ext>
          </c:extLst>
        </c:ser>
        <c:ser>
          <c:idx val="3"/>
          <c:order val="3"/>
          <c:tx>
            <c:strRef>
              <c:f>'Data and Graphics'!$AQ$17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and Graphics'!$AL$18:$AL$20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'Data and Graphics'!$AQ$18:$AQ$20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6B-4C4C-A2E6-438AC47DE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831976032"/>
        <c:axId val="831976392"/>
      </c:barChart>
      <c:catAx>
        <c:axId val="83197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1976392"/>
        <c:crosses val="autoZero"/>
        <c:auto val="1"/>
        <c:lblAlgn val="ctr"/>
        <c:lblOffset val="100"/>
        <c:noMultiLvlLbl val="0"/>
      </c:catAx>
      <c:valAx>
        <c:axId val="831976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976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and Graphics'!$M$2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'Data and Graphics'!$M$3:$M$15</c:f>
              <c:numCache>
                <c:formatCode>0.00%</c:formatCode>
                <c:ptCount val="13"/>
                <c:pt idx="0">
                  <c:v>0.35709999999999997</c:v>
                </c:pt>
                <c:pt idx="1">
                  <c:v>0.35899999999999999</c:v>
                </c:pt>
                <c:pt idx="2">
                  <c:v>0.36880000000000002</c:v>
                </c:pt>
                <c:pt idx="3">
                  <c:v>0.31830000000000003</c:v>
                </c:pt>
                <c:pt idx="4">
                  <c:v>0.42970000000000003</c:v>
                </c:pt>
                <c:pt idx="5">
                  <c:v>0.40179999999999999</c:v>
                </c:pt>
                <c:pt idx="6">
                  <c:v>0.38400000000000001</c:v>
                </c:pt>
                <c:pt idx="7">
                  <c:v>0.45469999999999999</c:v>
                </c:pt>
                <c:pt idx="8">
                  <c:v>0.26700000000000002</c:v>
                </c:pt>
                <c:pt idx="9">
                  <c:v>0.27779999999999999</c:v>
                </c:pt>
                <c:pt idx="10">
                  <c:v>0.30730000000000002</c:v>
                </c:pt>
                <c:pt idx="11">
                  <c:v>0.31759999999999999</c:v>
                </c:pt>
                <c:pt idx="12">
                  <c:v>0.31879999999999997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6-428B-A089-665B521DC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22800"/>
        <c:axId val="501323520"/>
      </c:scatterChart>
      <c:valAx>
        <c:axId val="5013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1323520"/>
        <c:crosses val="autoZero"/>
        <c:crossBetween val="midCat"/>
      </c:valAx>
      <c:valAx>
        <c:axId val="501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132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717E0695-BA92-41C5-B78D-0CAC0014E281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</xdr:row>
      <xdr:rowOff>140970</xdr:rowOff>
    </xdr:from>
    <xdr:to>
      <xdr:col>10</xdr:col>
      <xdr:colOff>350520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49489-2617-460E-A22D-A55033CD9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11</xdr:row>
      <xdr:rowOff>99060</xdr:rowOff>
    </xdr:from>
    <xdr:to>
      <xdr:col>4</xdr:col>
      <xdr:colOff>76200</xdr:colOff>
      <xdr:row>20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DC2C92-80BC-778A-B6AD-F250D4C5A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655320</xdr:colOff>
      <xdr:row>11</xdr:row>
      <xdr:rowOff>106680</xdr:rowOff>
    </xdr:from>
    <xdr:to>
      <xdr:col>7</xdr:col>
      <xdr:colOff>365760</xdr:colOff>
      <xdr:row>20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C9AC78-2AF0-75AA-AF13-580885388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24</xdr:row>
      <xdr:rowOff>80010</xdr:rowOff>
    </xdr:from>
    <xdr:to>
      <xdr:col>10</xdr:col>
      <xdr:colOff>678180</xdr:colOff>
      <xdr:row>34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727B89-5044-88FA-313F-297853AB1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525780</xdr:colOff>
      <xdr:row>45</xdr:row>
      <xdr:rowOff>140970</xdr:rowOff>
    </xdr:from>
    <xdr:to>
      <xdr:col>4</xdr:col>
      <xdr:colOff>754380</xdr:colOff>
      <xdr:row>57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A1E4080-F899-D15B-F16C-1DCDACDEDE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9220" y="9536430"/>
              <a:ext cx="328422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838200</xdr:colOff>
      <xdr:row>45</xdr:row>
      <xdr:rowOff>167640</xdr:rowOff>
    </xdr:from>
    <xdr:to>
      <xdr:col>10</xdr:col>
      <xdr:colOff>426720</xdr:colOff>
      <xdr:row>57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300E9F-838C-1251-0589-103DDCA7F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392036</xdr:colOff>
      <xdr:row>19</xdr:row>
      <xdr:rowOff>163041</xdr:rowOff>
    </xdr:from>
    <xdr:to>
      <xdr:col>15</xdr:col>
      <xdr:colOff>628256</xdr:colOff>
      <xdr:row>34</xdr:row>
      <xdr:rowOff>180558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83974E-11E9-BDDB-4574-404537863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1076697</xdr:colOff>
      <xdr:row>19</xdr:row>
      <xdr:rowOff>257503</xdr:rowOff>
    </xdr:from>
    <xdr:to>
      <xdr:col>19</xdr:col>
      <xdr:colOff>1007241</xdr:colOff>
      <xdr:row>35</xdr:row>
      <xdr:rowOff>91089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3CDBE1-9131-43C0-A922-005C858D2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468587</xdr:colOff>
      <xdr:row>23</xdr:row>
      <xdr:rowOff>82331</xdr:rowOff>
    </xdr:from>
    <xdr:to>
      <xdr:col>30</xdr:col>
      <xdr:colOff>363485</xdr:colOff>
      <xdr:row>38</xdr:row>
      <xdr:rowOff>40289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EC87F4-5A53-6A5C-764E-EC8CEF65D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43793</xdr:colOff>
      <xdr:row>23</xdr:row>
      <xdr:rowOff>43793</xdr:rowOff>
    </xdr:from>
    <xdr:to>
      <xdr:col>36</xdr:col>
      <xdr:colOff>61310</xdr:colOff>
      <xdr:row>39</xdr:row>
      <xdr:rowOff>96345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382A3C-4B85-2292-E4C0-112278411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389759</xdr:colOff>
      <xdr:row>35</xdr:row>
      <xdr:rowOff>161157</xdr:rowOff>
    </xdr:from>
    <xdr:to>
      <xdr:col>15</xdr:col>
      <xdr:colOff>617483</xdr:colOff>
      <xdr:row>50</xdr:row>
      <xdr:rowOff>145392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50C774-3CF6-2956-8E66-E74D57CD9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gadillo, Luis Felipe" refreshedDate="45926.400781018521" createdVersion="8" refreshedVersion="8" minRefreshableVersion="3" recordCount="13" xr:uid="{204F28E3-4D21-4AD8-883F-5A5D62B7D8D7}">
  <cacheSource type="worksheet">
    <worksheetSource ref="B2:Y15" sheet="Data and Graphics"/>
  </cacheSource>
  <cacheFields count="24">
    <cacheField name="# Week" numFmtId="0">
      <sharedItems containsSemiMixedTypes="0" containsString="0" containsNumber="1" containsInteger="1" minValue="1" maxValue="13"/>
    </cacheField>
    <cacheField name="Week" numFmtId="14">
      <sharedItems containsSemiMixedTypes="0" containsNonDate="0" containsDate="1" containsString="0" minDate="2025-04-06T00:00:00" maxDate="2025-06-30T00:00:00"/>
    </cacheField>
    <cacheField name="Month" numFmtId="0">
      <sharedItems count="3">
        <s v="April"/>
        <s v="May"/>
        <s v="June"/>
      </sharedItems>
    </cacheField>
    <cacheField name="# of Missions" numFmtId="0">
      <sharedItems containsSemiMixedTypes="0" containsString="0" containsNumber="1" containsInteger="1" minValue="5" maxValue="14"/>
    </cacheField>
    <cacheField name="% Growth Missions" numFmtId="0">
      <sharedItems containsString="0" containsBlank="1" containsNumber="1" minValue="-0.5" maxValue="1"/>
    </cacheField>
    <cacheField name="Public" numFmtId="0">
      <sharedItems containsSemiMixedTypes="0" containsString="0" containsNumber="1" containsInteger="1" minValue="5" maxValue="9"/>
    </cacheField>
    <cacheField name="% Public" numFmtId="9">
      <sharedItems containsSemiMixedTypes="0" containsString="0" containsNumber="1" minValue="0.6" maxValue="1"/>
    </cacheField>
    <cacheField name="Private" numFmtId="0">
      <sharedItems containsSemiMixedTypes="0" containsString="0" containsNumber="1" containsInteger="1" minValue="0" maxValue="5"/>
    </cacheField>
    <cacheField name="% Private" numFmtId="9">
      <sharedItems containsSemiMixedTypes="0" containsString="0" containsNumber="1" minValue="0" maxValue="0.4"/>
    </cacheField>
    <cacheField name="Optins" numFmtId="164">
      <sharedItems containsSemiMixedTypes="0" containsString="0" containsNumber="1" containsInteger="1" minValue="11340" maxValue="25432"/>
    </cacheField>
    <cacheField name="Completions" numFmtId="164">
      <sharedItems containsSemiMixedTypes="0" containsString="0" containsNumber="1" containsInteger="1" minValue="3100" maxValue="9765"/>
    </cacheField>
    <cacheField name="Conversion Rate" numFmtId="10">
      <sharedItems containsSemiMixedTypes="0" containsString="0" containsNumber="1" minValue="0.26700000000000002" maxValue="0.45469999999999999"/>
    </cacheField>
    <cacheField name="Active Users" numFmtId="164">
      <sharedItems containsSemiMixedTypes="0" containsString="0" containsNumber="1" containsInteger="1" minValue="23000" maxValue="29100"/>
    </cacheField>
    <cacheField name="% Growth" numFmtId="0">
      <sharedItems containsString="0" containsBlank="1" containsNumber="1" minValue="-3.0927835051546393E-2" maxValue="7.3800738007380184E-2"/>
    </cacheField>
    <cacheField name="Active Users with at least 1 Opt In" numFmtId="164">
      <sharedItems containsSemiMixedTypes="0" containsString="0" containsNumber="1" containsInteger="1" minValue="3643" maxValue="4754"/>
    </cacheField>
    <cacheField name="% Opt In" numFmtId="165">
      <sharedItems containsSemiMixedTypes="0" containsString="0" containsNumber="1" minValue="0.15116182572614109" maxValue="0.17344035023713972"/>
    </cacheField>
    <cacheField name="Active Users with at least 1 Completion" numFmtId="164">
      <sharedItems containsSemiMixedTypes="0" containsString="0" containsNumber="1" containsInteger="1" minValue="1234" maxValue="2499"/>
    </cacheField>
    <cacheField name="% Completion" numFmtId="165">
      <sharedItems containsSemiMixedTypes="0" containsString="0" containsNumber="1" minValue="4.5020065669463698E-2" maxValue="9.1701244813278002E-2"/>
    </cacheField>
    <cacheField name="Opt Ins per User" numFmtId="43">
      <sharedItems containsSemiMixedTypes="0" containsString="0" containsNumber="1" minValue="2.4972043010752687" maxValue="5.7150561797752806"/>
    </cacheField>
    <cacheField name="Completion per User" numFmtId="43">
      <sharedItems containsSemiMixedTypes="0" containsString="0" containsNumber="1" minValue="1.7593643586833143" maxValue="3.9075630252100839"/>
    </cacheField>
    <cacheField name="Football Missions" numFmtId="0">
      <sharedItems containsSemiMixedTypes="0" containsString="0" containsNumber="1" containsInteger="1" minValue="2" maxValue="6"/>
    </cacheField>
    <cacheField name="Basketball Missions" numFmtId="0">
      <sharedItems containsSemiMixedTypes="0" containsString="0" containsNumber="1" containsInteger="1" minValue="0" maxValue="5"/>
    </cacheField>
    <cacheField name="Tennis Missions" numFmtId="0">
      <sharedItems containsSemiMixedTypes="0" containsString="0" containsNumber="1" containsInteger="1" minValue="0" maxValue="4"/>
    </cacheField>
    <cacheField name="Mixed Missions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d v="2025-04-06T00:00:00"/>
    <x v="0"/>
    <n v="7"/>
    <m/>
    <n v="6"/>
    <n v="0.8571428571428571"/>
    <n v="1"/>
    <n v="0.1428571428571429"/>
    <n v="12100"/>
    <n v="4321"/>
    <n v="0.35709999999999997"/>
    <n v="23000"/>
    <m/>
    <n v="3650"/>
    <n v="0.15869565217391304"/>
    <n v="2100"/>
    <n v="9.1304347826086957E-2"/>
    <n v="3.3150684931506849"/>
    <n v="2.0576190476190477"/>
    <n v="4"/>
    <n v="3"/>
    <n v="0"/>
    <n v="0"/>
  </r>
  <r>
    <n v="2"/>
    <d v="2025-04-13T00:00:00"/>
    <x v="0"/>
    <n v="8"/>
    <n v="0.14285714285714279"/>
    <n v="7"/>
    <n v="0.875"/>
    <n v="1"/>
    <n v="0.125"/>
    <n v="13400"/>
    <n v="4810"/>
    <n v="0.35899999999999999"/>
    <n v="23120"/>
    <n v="5.2173913043478404E-3"/>
    <n v="3710"/>
    <n v="0.16046712802768165"/>
    <n v="2045"/>
    <n v="8.8451557093425601E-2"/>
    <n v="3.6118598382749325"/>
    <n v="2.3520782396088018"/>
    <n v="5"/>
    <n v="3"/>
    <n v="0"/>
    <n v="0"/>
  </r>
  <r>
    <n v="3"/>
    <d v="2025-04-20T00:00:00"/>
    <x v="0"/>
    <n v="8"/>
    <n v="0"/>
    <n v="7"/>
    <n v="0.875"/>
    <n v="1"/>
    <n v="0.125"/>
    <n v="12500"/>
    <n v="4610"/>
    <n v="0.36880000000000002"/>
    <n v="24100"/>
    <n v="4.2387543252595083E-2"/>
    <n v="3643"/>
    <n v="0.15116182572614109"/>
    <n v="2210"/>
    <n v="9.1701244813278002E-2"/>
    <n v="3.4312379906670327"/>
    <n v="2.0859728506787332"/>
    <n v="5"/>
    <n v="3"/>
    <n v="0"/>
    <n v="0"/>
  </r>
  <r>
    <n v="4"/>
    <d v="2025-04-27T00:00:00"/>
    <x v="0"/>
    <n v="5"/>
    <n v="-0.375"/>
    <n v="5"/>
    <n v="1"/>
    <n v="0"/>
    <n v="0"/>
    <n v="11340"/>
    <n v="3610"/>
    <n v="0.31830000000000003"/>
    <n v="25320"/>
    <n v="5.0622406639004192E-2"/>
    <n v="3900"/>
    <n v="0.15402843601895735"/>
    <n v="1980"/>
    <n v="7.8199052132701424E-2"/>
    <n v="2.9076923076923076"/>
    <n v="1.8232323232323233"/>
    <n v="2"/>
    <n v="0"/>
    <n v="3"/>
    <n v="0"/>
  </r>
  <r>
    <n v="5"/>
    <d v="2025-05-04T00:00:00"/>
    <x v="1"/>
    <n v="10"/>
    <n v="1"/>
    <n v="7"/>
    <n v="0.7"/>
    <n v="3"/>
    <n v="0.30000000000000004"/>
    <n v="15220"/>
    <n v="6540"/>
    <n v="0.42970000000000003"/>
    <n v="25800"/>
    <n v="1.8957345971563955E-2"/>
    <n v="4100"/>
    <n v="0.15891472868217055"/>
    <n v="2350"/>
    <n v="9.1085271317829453E-2"/>
    <n v="3.7121951219512197"/>
    <n v="2.7829787234042551"/>
    <n v="6"/>
    <n v="0"/>
    <n v="1"/>
    <n v="3"/>
  </r>
  <r>
    <n v="6"/>
    <d v="2025-05-11T00:00:00"/>
    <x v="1"/>
    <n v="9"/>
    <n v="-9.9999999999999978E-2"/>
    <n v="6"/>
    <n v="0.66666666666666663"/>
    <n v="3"/>
    <n v="0.33333333333333337"/>
    <n v="13988"/>
    <n v="5621"/>
    <n v="0.40179999999999999"/>
    <n v="27100"/>
    <n v="5.0387596899224896E-2"/>
    <n v="4320"/>
    <n v="0.15940959409594097"/>
    <n v="2410"/>
    <n v="8.8929889298892992E-2"/>
    <n v="3.2379629629629632"/>
    <n v="2.3323651452282159"/>
    <n v="3"/>
    <n v="3"/>
    <n v="0"/>
    <n v="3"/>
  </r>
  <r>
    <n v="7"/>
    <d v="2025-05-18T00:00:00"/>
    <x v="1"/>
    <n v="14"/>
    <n v="0.55555555555555558"/>
    <n v="9"/>
    <n v="0.6428571428571429"/>
    <n v="5"/>
    <n v="0.3571428571428571"/>
    <n v="25432"/>
    <n v="9765"/>
    <n v="0.38400000000000001"/>
    <n v="29100"/>
    <n v="7.3800738007380184E-2"/>
    <n v="4450"/>
    <n v="0.15292096219931273"/>
    <n v="2499"/>
    <n v="8.5876288659793812E-2"/>
    <n v="5.7150561797752806"/>
    <n v="3.9075630252100839"/>
    <n v="3"/>
    <n v="5"/>
    <n v="0"/>
    <n v="6"/>
  </r>
  <r>
    <n v="8"/>
    <d v="2025-05-25T00:00:00"/>
    <x v="1"/>
    <n v="10"/>
    <n v="-0.2857142857142857"/>
    <n v="6"/>
    <n v="0.6"/>
    <n v="4"/>
    <n v="0.4"/>
    <n v="15220"/>
    <n v="6921"/>
    <n v="0.45469999999999999"/>
    <n v="28200"/>
    <n v="-3.0927835051546393E-2"/>
    <n v="4610"/>
    <n v="0.16347517730496453"/>
    <n v="2231"/>
    <n v="7.9113475177304965E-2"/>
    <n v="3.3015184381778742"/>
    <n v="3.1021963245181534"/>
    <n v="3"/>
    <n v="5"/>
    <n v="0"/>
    <n v="2"/>
  </r>
  <r>
    <n v="9"/>
    <d v="2025-06-01T00:00:00"/>
    <x v="2"/>
    <n v="5"/>
    <n v="-0.5"/>
    <n v="5"/>
    <n v="1"/>
    <n v="0"/>
    <n v="0"/>
    <n v="11612"/>
    <n v="3100"/>
    <n v="0.26700000000000002"/>
    <n v="27830"/>
    <n v="-1.3120567375886516E-2"/>
    <n v="4650"/>
    <n v="0.16708587854832915"/>
    <n v="1762"/>
    <n v="6.3312971613366867E-2"/>
    <n v="2.4972043010752687"/>
    <n v="1.7593643586833143"/>
    <n v="2"/>
    <n v="0"/>
    <n v="3"/>
    <n v="0"/>
  </r>
  <r>
    <n v="10"/>
    <d v="2025-06-08T00:00:00"/>
    <x v="2"/>
    <n v="5"/>
    <n v="0"/>
    <n v="5"/>
    <n v="1"/>
    <n v="0"/>
    <n v="0"/>
    <n v="11819"/>
    <n v="3283"/>
    <n v="0.27779999999999999"/>
    <n v="27820"/>
    <n v="-3.5932446999642487E-4"/>
    <n v="4603"/>
    <n v="0.16545650611071172"/>
    <n v="1634"/>
    <n v="5.8734723220704527E-2"/>
    <n v="2.5676732565718008"/>
    <n v="2.0091799265605874"/>
    <n v="2"/>
    <n v="0"/>
    <n v="3"/>
    <n v="0"/>
  </r>
  <r>
    <n v="11"/>
    <d v="2025-06-15T00:00:00"/>
    <x v="2"/>
    <n v="6"/>
    <n v="0.19999999999999996"/>
    <n v="5"/>
    <n v="0.83333333333333337"/>
    <n v="1"/>
    <n v="0.16666666666666663"/>
    <n v="12765"/>
    <n v="3923"/>
    <n v="0.30730000000000002"/>
    <n v="27340"/>
    <n v="-1.7253774263120025E-2"/>
    <n v="4610"/>
    <n v="0.1686174103877103"/>
    <n v="1534"/>
    <n v="5.6108266276517924E-2"/>
    <n v="2.7689804772234274"/>
    <n v="2.5573663624511083"/>
    <n v="2"/>
    <n v="0"/>
    <n v="4"/>
    <n v="0"/>
  </r>
  <r>
    <n v="12"/>
    <d v="2025-06-22T00:00:00"/>
    <x v="2"/>
    <n v="6"/>
    <n v="0"/>
    <n v="5"/>
    <n v="0.83333333333333337"/>
    <n v="1"/>
    <n v="0.16666666666666663"/>
    <n v="12910"/>
    <n v="4100"/>
    <n v="0.31759999999999999"/>
    <n v="27360"/>
    <n v="7.3152889539129795E-4"/>
    <n v="4660"/>
    <n v="0.1703216374269006"/>
    <n v="1612"/>
    <n v="5.8918128654970758E-2"/>
    <n v="2.7703862660944205"/>
    <n v="2.5434243176178661"/>
    <n v="3"/>
    <n v="0"/>
    <n v="3"/>
    <n v="0"/>
  </r>
  <r>
    <n v="13"/>
    <d v="2025-06-29T00:00:00"/>
    <x v="2"/>
    <n v="6"/>
    <n v="0"/>
    <n v="5"/>
    <n v="0.83333333333333337"/>
    <n v="1"/>
    <n v="0.16666666666666663"/>
    <n v="13234"/>
    <n v="4219"/>
    <n v="0.31879999999999997"/>
    <n v="27410"/>
    <n v="1.827485380117011E-3"/>
    <n v="4754"/>
    <n v="0.17344035023713972"/>
    <n v="1234"/>
    <n v="4.5020065669463698E-2"/>
    <n v="2.7837610433319311"/>
    <n v="3.4189627228525121"/>
    <n v="4"/>
    <n v="0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85DAE-41D7-4B7F-B301-D235984C7F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17:AH21" firstHeaderRow="0" firstDataRow="1" firstDataCol="1"/>
  <pivotFields count="24"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numFmtId="9" showAll="0"/>
    <pivotField showAll="0"/>
    <pivotField numFmtId="9" showAll="0"/>
    <pivotField numFmtId="164" showAll="0"/>
    <pivotField numFmtId="164" showAll="0"/>
    <pivotField numFmtId="10" showAll="0"/>
    <pivotField numFmtId="164" showAll="0"/>
    <pivotField showAll="0"/>
    <pivotField numFmtId="164" showAll="0"/>
    <pivotField numFmtId="165" showAll="0"/>
    <pivotField numFmtId="164" showAll="0"/>
    <pivotField numFmtId="165" showAll="0"/>
    <pivotField numFmtId="43" showAll="0"/>
    <pivotField numFmtId="43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# of Missions" fld="3" baseField="0" baseItem="0"/>
    <dataField name="Sum of Football Missions" fld="20" baseField="0" baseItem="0"/>
    <dataField name="Sum of Basketball Missions" fld="21" baseField="0" baseItem="0"/>
    <dataField name="Sum of Tennis Missions" fld="22" baseField="0" baseItem="0"/>
    <dataField name="Sum of Mixed Missions" fld="23" baseField="0" baseItem="0"/>
  </dataFields>
  <formats count="8">
    <format dxfId="7">
      <pivotArea collapsedLevelsAreSubtotals="1" fieldPosition="0">
        <references count="1">
          <reference field="2" count="1">
            <x v="2"/>
          </reference>
        </references>
      </pivotArea>
    </format>
    <format dxfId="6">
      <pivotArea dataOnly="0" labelOnly="1" fieldPosition="0">
        <references count="1">
          <reference field="2" count="1"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4846C-9353-4631-A139-90F2C5EC3B6D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2" rowHeaderCaption="Month">
  <location ref="AC3:AI7" firstHeaderRow="0" firstDataRow="1" firstDataCol="1"/>
  <pivotFields count="24"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numFmtId="9" showAll="0"/>
    <pivotField dataField="1" showAll="0"/>
    <pivotField numFmtId="9" showAll="0"/>
    <pivotField numFmtId="164" showAll="0"/>
    <pivotField numFmtId="164" showAll="0"/>
    <pivotField numFmtId="10" showAll="0"/>
    <pivotField dataField="1" numFmtId="164" showAll="0"/>
    <pivotField showAll="0"/>
    <pivotField dataField="1" numFmtId="164" showAll="0"/>
    <pivotField numFmtId="165" showAll="0"/>
    <pivotField dataField="1" numFmtId="164" showAll="0"/>
    <pivotField numFmtId="165" showAll="0"/>
    <pivotField numFmtId="43" showAll="0"/>
    <pivotField numFmtId="43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 Missions" fld="3" baseField="0" baseItem="0"/>
    <dataField name=" Public" fld="5" baseField="0" baseItem="0"/>
    <dataField name=" Private" fld="7" baseField="0" baseItem="0"/>
    <dataField name=" Active Users" fld="12" baseField="0" baseItem="0" numFmtId="164"/>
    <dataField name="AU at least 1 Opt In" fld="14" baseField="2" baseItem="0" numFmtId="164"/>
    <dataField name="AU at least 1 Completion" fld="16" baseField="2" baseItem="0" numFmtId="164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6">
    <conditionalFormat priority="2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27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28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D50AD-F88D-4895-936B-B620471F216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C9:AI13" firstHeaderRow="0" firstDataRow="1" firstDataCol="1"/>
  <pivotFields count="24"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numFmtId="9" showAll="0"/>
    <pivotField dataField="1" showAll="0"/>
    <pivotField numFmtId="9" showAll="0"/>
    <pivotField numFmtId="164" showAll="0"/>
    <pivotField numFmtId="164" showAll="0"/>
    <pivotField numFmtId="10" showAll="0"/>
    <pivotField dataField="1" numFmtId="164" showAll="0"/>
    <pivotField showAll="0"/>
    <pivotField dataField="1" numFmtId="164" showAll="0"/>
    <pivotField numFmtId="165" showAll="0"/>
    <pivotField dataField="1" numFmtId="164" showAll="0"/>
    <pivotField numFmtId="165" showAll="0"/>
    <pivotField numFmtId="43" showAll="0"/>
    <pivotField numFmtId="43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g # Missions" fld="3" subtotal="average" baseField="2" baseItem="0"/>
    <dataField name="Avg Public" fld="5" subtotal="average" baseField="2" baseItem="0"/>
    <dataField name="Avg Private" fld="7" subtotal="average" baseField="2" baseItem="0"/>
    <dataField name="Average AU" fld="12" subtotal="average" baseField="2" baseItem="0" numFmtId="164"/>
    <dataField name="Avg AU at least 1 Opt In" fld="14" subtotal="average" baseField="2" baseItem="0" numFmtId="164"/>
    <dataField name="Avg AU at least 1 Completion" fld="16" subtotal="average" baseField="2" baseItem="0" numFmtId="164"/>
  </dataFields>
  <conditionalFormats count="6">
    <conditionalFormat priority="1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2" count="3">
              <x v="0"/>
              <x v="1"/>
              <x v="2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8458-64D8-4CE0-B69D-87D547F1B5A4}">
  <dimension ref="B1:O60"/>
  <sheetViews>
    <sheetView showGridLines="0" topLeftCell="A34" zoomScale="90" zoomScaleNormal="90" workbookViewId="0">
      <selection activeCell="B23" sqref="B23:K60"/>
    </sheetView>
  </sheetViews>
  <sheetFormatPr defaultColWidth="12.44140625" defaultRowHeight="15.6" x14ac:dyDescent="0.3"/>
  <cols>
    <col min="1" max="2" width="12.44140625" style="106"/>
    <col min="3" max="3" width="19.109375" style="106" customWidth="1"/>
    <col min="4" max="4" width="13" style="106" customWidth="1"/>
    <col min="5" max="5" width="12.44140625" style="106"/>
    <col min="6" max="6" width="16.44140625" style="106" bestFit="1" customWidth="1"/>
    <col min="7" max="8" width="12.44140625" style="106"/>
    <col min="9" max="9" width="14.6640625" style="106" bestFit="1" customWidth="1"/>
    <col min="10" max="12" width="12.44140625" style="106"/>
    <col min="13" max="13" width="18.44140625" style="106" customWidth="1"/>
    <col min="14" max="16384" width="12.44140625" style="106"/>
  </cols>
  <sheetData>
    <row r="1" spans="2:15" ht="16.2" thickBot="1" x14ac:dyDescent="0.35">
      <c r="L1" s="106" t="s">
        <v>64</v>
      </c>
      <c r="M1" s="106" t="s">
        <v>65</v>
      </c>
      <c r="O1" s="106" t="s">
        <v>66</v>
      </c>
    </row>
    <row r="2" spans="2:15" ht="25.8" x14ac:dyDescent="0.5">
      <c r="B2" s="118"/>
      <c r="C2" s="119" t="s">
        <v>67</v>
      </c>
      <c r="D2" s="120"/>
      <c r="E2" s="120"/>
      <c r="F2" s="120"/>
      <c r="G2" s="120"/>
      <c r="H2" s="120"/>
      <c r="I2" s="120"/>
      <c r="J2" s="120"/>
      <c r="K2" s="121"/>
      <c r="M2" s="106" t="s">
        <v>68</v>
      </c>
    </row>
    <row r="3" spans="2:15" ht="16.2" thickBot="1" x14ac:dyDescent="0.35">
      <c r="B3" s="122"/>
      <c r="K3" s="123"/>
    </row>
    <row r="4" spans="2:15" ht="16.2" thickBot="1" x14ac:dyDescent="0.35">
      <c r="B4" s="122"/>
      <c r="C4" s="141" t="s">
        <v>69</v>
      </c>
      <c r="D4" s="142"/>
      <c r="E4" s="124"/>
      <c r="F4" s="141" t="s">
        <v>70</v>
      </c>
      <c r="G4" s="142"/>
      <c r="H4" s="124"/>
      <c r="K4" s="123"/>
      <c r="M4" s="141" t="s">
        <v>71</v>
      </c>
      <c r="N4" s="142"/>
    </row>
    <row r="5" spans="2:15" x14ac:dyDescent="0.3">
      <c r="B5" s="122"/>
      <c r="C5" s="112" t="s">
        <v>72</v>
      </c>
      <c r="D5" s="112" t="s">
        <v>73</v>
      </c>
      <c r="E5" s="124"/>
      <c r="F5" s="112" t="s">
        <v>72</v>
      </c>
      <c r="G5" s="112" t="s">
        <v>73</v>
      </c>
      <c r="H5" s="124"/>
      <c r="K5" s="123"/>
      <c r="M5" s="112" t="s">
        <v>74</v>
      </c>
      <c r="N5" s="112" t="s">
        <v>73</v>
      </c>
    </row>
    <row r="6" spans="2:15" x14ac:dyDescent="0.3">
      <c r="B6" s="122"/>
      <c r="C6" s="113" t="s">
        <v>75</v>
      </c>
      <c r="D6" s="114">
        <v>7381594</v>
      </c>
      <c r="E6" s="124"/>
      <c r="F6" s="113" t="s">
        <v>76</v>
      </c>
      <c r="G6" s="114">
        <f>$N$11*0.3</f>
        <v>5357079.3</v>
      </c>
      <c r="H6" s="124"/>
      <c r="K6" s="123"/>
      <c r="M6" s="113" t="s">
        <v>117</v>
      </c>
      <c r="N6" s="114">
        <f>$N$11*0.6*0.6</f>
        <v>6428495.1599999992</v>
      </c>
    </row>
    <row r="7" spans="2:15" x14ac:dyDescent="0.3">
      <c r="B7" s="122"/>
      <c r="C7" s="113" t="s">
        <v>77</v>
      </c>
      <c r="D7" s="114">
        <v>5872463</v>
      </c>
      <c r="E7" s="124"/>
      <c r="F7" s="113" t="s">
        <v>78</v>
      </c>
      <c r="G7" s="114">
        <f>$N$11*0.2</f>
        <v>3571386.2</v>
      </c>
      <c r="H7" s="124"/>
      <c r="K7" s="123"/>
      <c r="M7" s="113" t="s">
        <v>118</v>
      </c>
      <c r="N7" s="114">
        <f>$N$11*0.6*0.4</f>
        <v>4285663.4400000004</v>
      </c>
    </row>
    <row r="8" spans="2:15" x14ac:dyDescent="0.3">
      <c r="B8" s="122"/>
      <c r="C8" s="113" t="s">
        <v>79</v>
      </c>
      <c r="D8" s="114">
        <v>2765389</v>
      </c>
      <c r="E8" s="124"/>
      <c r="F8" s="113" t="s">
        <v>80</v>
      </c>
      <c r="G8" s="114">
        <f>$N$11*0.15</f>
        <v>2678539.65</v>
      </c>
      <c r="H8" s="124"/>
      <c r="I8" s="124"/>
      <c r="J8" s="124"/>
      <c r="K8" s="123"/>
    </row>
    <row r="9" spans="2:15" x14ac:dyDescent="0.3">
      <c r="B9" s="122"/>
      <c r="C9" s="113" t="s">
        <v>81</v>
      </c>
      <c r="D9" s="114">
        <v>1837485</v>
      </c>
      <c r="E9" s="124"/>
      <c r="F9" s="113" t="s">
        <v>82</v>
      </c>
      <c r="G9" s="114">
        <f>$N$11*0.1</f>
        <v>1785693.1</v>
      </c>
      <c r="H9" s="124"/>
      <c r="I9" s="124" t="s">
        <v>83</v>
      </c>
      <c r="J9" s="124"/>
      <c r="K9" s="123"/>
    </row>
    <row r="10" spans="2:15" x14ac:dyDescent="0.3">
      <c r="B10" s="122"/>
      <c r="C10" s="113" t="s">
        <v>84</v>
      </c>
      <c r="D10" s="114"/>
      <c r="E10" s="124"/>
      <c r="F10" s="113" t="s">
        <v>85</v>
      </c>
      <c r="G10" s="114">
        <f>$N$11*0.05</f>
        <v>892846.55</v>
      </c>
      <c r="H10" s="124"/>
      <c r="I10" s="124"/>
      <c r="J10" s="124"/>
      <c r="K10" s="123"/>
      <c r="M10" s="115" t="s">
        <v>119</v>
      </c>
      <c r="N10" s="115" t="s">
        <v>86</v>
      </c>
      <c r="O10" s="115" t="s">
        <v>120</v>
      </c>
    </row>
    <row r="11" spans="2:15" x14ac:dyDescent="0.3">
      <c r="B11" s="122"/>
      <c r="C11" s="124"/>
      <c r="D11" s="124"/>
      <c r="E11" s="124"/>
      <c r="F11" s="113" t="s">
        <v>84</v>
      </c>
      <c r="G11" s="114"/>
      <c r="H11" s="124"/>
      <c r="I11" s="124"/>
      <c r="J11" s="124"/>
      <c r="K11" s="123"/>
      <c r="M11" s="116">
        <v>30000000</v>
      </c>
      <c r="N11" s="116">
        <f>SUM(D6:D10)</f>
        <v>17856931</v>
      </c>
      <c r="O11" s="116">
        <f>M11-N11</f>
        <v>12143069</v>
      </c>
    </row>
    <row r="12" spans="2:15" x14ac:dyDescent="0.3">
      <c r="B12" s="122"/>
      <c r="K12" s="123"/>
      <c r="O12" s="106" t="s">
        <v>87</v>
      </c>
    </row>
    <row r="13" spans="2:15" ht="16.2" thickBot="1" x14ac:dyDescent="0.35">
      <c r="B13" s="122"/>
      <c r="K13" s="123"/>
    </row>
    <row r="14" spans="2:15" x14ac:dyDescent="0.3">
      <c r="B14" s="122"/>
      <c r="F14" s="106" t="s">
        <v>88</v>
      </c>
      <c r="I14" s="143" t="s">
        <v>89</v>
      </c>
      <c r="J14" s="144"/>
      <c r="K14" s="123"/>
    </row>
    <row r="15" spans="2:15" x14ac:dyDescent="0.3">
      <c r="B15" s="122"/>
      <c r="I15" s="145"/>
      <c r="J15" s="146"/>
      <c r="K15" s="123"/>
    </row>
    <row r="16" spans="2:15" x14ac:dyDescent="0.3">
      <c r="B16" s="122"/>
      <c r="I16" s="145"/>
      <c r="J16" s="146"/>
      <c r="K16" s="123"/>
    </row>
    <row r="17" spans="2:15" x14ac:dyDescent="0.3">
      <c r="B17" s="122"/>
      <c r="I17" s="147">
        <v>0.43690000000000001</v>
      </c>
      <c r="J17" s="148"/>
      <c r="K17" s="123"/>
    </row>
    <row r="18" spans="2:15" x14ac:dyDescent="0.3">
      <c r="B18" s="122"/>
      <c r="I18" s="147"/>
      <c r="J18" s="148"/>
      <c r="K18" s="123"/>
    </row>
    <row r="19" spans="2:15" ht="16.2" thickBot="1" x14ac:dyDescent="0.35">
      <c r="B19" s="122"/>
      <c r="I19" s="139"/>
      <c r="J19" s="140"/>
      <c r="K19" s="123"/>
    </row>
    <row r="20" spans="2:15" x14ac:dyDescent="0.3">
      <c r="B20" s="122"/>
      <c r="K20" s="123"/>
    </row>
    <row r="21" spans="2:15" x14ac:dyDescent="0.3">
      <c r="B21" s="122"/>
      <c r="K21" s="123"/>
    </row>
    <row r="22" spans="2:15" ht="16.2" thickBot="1" x14ac:dyDescent="0.35">
      <c r="B22" s="126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2:15" ht="25.8" x14ac:dyDescent="0.5">
      <c r="B23" s="118"/>
      <c r="C23" s="119" t="s">
        <v>90</v>
      </c>
      <c r="D23" s="120"/>
      <c r="E23" s="120"/>
      <c r="F23" s="120"/>
      <c r="G23" s="120"/>
      <c r="H23" s="120"/>
      <c r="I23" s="120"/>
      <c r="J23" s="120"/>
      <c r="K23" s="121"/>
    </row>
    <row r="24" spans="2:15" ht="16.2" thickBot="1" x14ac:dyDescent="0.35">
      <c r="B24" s="122"/>
      <c r="K24" s="123"/>
    </row>
    <row r="25" spans="2:15" ht="16.2" thickBot="1" x14ac:dyDescent="0.35">
      <c r="B25" s="122"/>
      <c r="C25" s="141" t="s">
        <v>91</v>
      </c>
      <c r="D25" s="142"/>
      <c r="F25" s="141" t="s">
        <v>92</v>
      </c>
      <c r="G25" s="142"/>
      <c r="K25" s="123"/>
      <c r="N25" s="141" t="s">
        <v>93</v>
      </c>
      <c r="O25" s="142"/>
    </row>
    <row r="26" spans="2:15" x14ac:dyDescent="0.3">
      <c r="B26" s="122"/>
      <c r="C26" s="112" t="s">
        <v>30</v>
      </c>
      <c r="D26" s="112" t="s">
        <v>95</v>
      </c>
      <c r="F26" s="112" t="s">
        <v>96</v>
      </c>
      <c r="G26" s="112" t="s">
        <v>97</v>
      </c>
      <c r="K26" s="123"/>
      <c r="N26" s="112" t="s">
        <v>98</v>
      </c>
      <c r="O26" s="112" t="s">
        <v>99</v>
      </c>
    </row>
    <row r="27" spans="2:15" x14ac:dyDescent="0.3">
      <c r="B27" s="122"/>
      <c r="C27" s="109">
        <v>0.25</v>
      </c>
      <c r="D27" s="110">
        <v>0.30120000000000002</v>
      </c>
      <c r="F27" s="107" t="s">
        <v>100</v>
      </c>
      <c r="G27" s="110">
        <v>3.4200000000000001E-2</v>
      </c>
      <c r="K27" s="123"/>
      <c r="N27" s="107" t="s">
        <v>101</v>
      </c>
      <c r="O27" s="111">
        <f>1-(O28+O29)</f>
        <v>0.20999999999999996</v>
      </c>
    </row>
    <row r="28" spans="2:15" x14ac:dyDescent="0.3">
      <c r="B28" s="122"/>
      <c r="C28" s="109">
        <v>0.5</v>
      </c>
      <c r="D28" s="110">
        <v>0.26429999999999998</v>
      </c>
      <c r="F28" s="107" t="s">
        <v>102</v>
      </c>
      <c r="G28" s="110">
        <v>4.3200000000000002E-2</v>
      </c>
      <c r="K28" s="123"/>
      <c r="N28" s="107" t="s">
        <v>103</v>
      </c>
      <c r="O28" s="111">
        <v>0.42</v>
      </c>
    </row>
    <row r="29" spans="2:15" x14ac:dyDescent="0.3">
      <c r="B29" s="122"/>
      <c r="C29" s="109">
        <v>0.75</v>
      </c>
      <c r="D29" s="110">
        <v>0.1195</v>
      </c>
      <c r="F29" s="107" t="s">
        <v>104</v>
      </c>
      <c r="G29" s="110">
        <v>7.2300000000000003E-2</v>
      </c>
      <c r="K29" s="123"/>
      <c r="N29" s="107" t="s">
        <v>62</v>
      </c>
      <c r="O29" s="111">
        <v>0.37</v>
      </c>
    </row>
    <row r="30" spans="2:15" x14ac:dyDescent="0.3">
      <c r="B30" s="122"/>
      <c r="C30" s="109">
        <v>1</v>
      </c>
      <c r="D30" s="110">
        <v>4.24E-2</v>
      </c>
      <c r="F30" s="107" t="s">
        <v>105</v>
      </c>
      <c r="G30" s="110">
        <v>6.4000000000000001E-2</v>
      </c>
      <c r="K30" s="123"/>
    </row>
    <row r="31" spans="2:15" x14ac:dyDescent="0.3">
      <c r="B31" s="122"/>
      <c r="F31" s="107" t="s">
        <v>84</v>
      </c>
      <c r="G31" s="107"/>
      <c r="K31" s="123"/>
    </row>
    <row r="32" spans="2:15" ht="16.2" thickBot="1" x14ac:dyDescent="0.35">
      <c r="B32" s="122"/>
      <c r="K32" s="123"/>
    </row>
    <row r="33" spans="2:11" ht="16.2" thickBot="1" x14ac:dyDescent="0.35">
      <c r="B33" s="122"/>
      <c r="C33" s="141" t="s">
        <v>94</v>
      </c>
      <c r="D33" s="142"/>
      <c r="F33" s="141" t="s">
        <v>106</v>
      </c>
      <c r="G33" s="142"/>
      <c r="I33" s="106" t="s">
        <v>93</v>
      </c>
      <c r="K33" s="123"/>
    </row>
    <row r="34" spans="2:11" ht="15.6" customHeight="1" x14ac:dyDescent="0.3">
      <c r="B34" s="122"/>
      <c r="C34" s="137" t="s">
        <v>121</v>
      </c>
      <c r="D34" s="138"/>
      <c r="F34" s="137">
        <v>5.3400000000000003E-2</v>
      </c>
      <c r="G34" s="138"/>
      <c r="K34" s="123"/>
    </row>
    <row r="35" spans="2:11" ht="15.6" customHeight="1" thickBot="1" x14ac:dyDescent="0.35">
      <c r="B35" s="122"/>
      <c r="C35" s="139"/>
      <c r="D35" s="140"/>
      <c r="F35" s="139"/>
      <c r="G35" s="140"/>
      <c r="K35" s="123"/>
    </row>
    <row r="36" spans="2:11" ht="15.6" customHeight="1" x14ac:dyDescent="0.3">
      <c r="B36" s="122"/>
      <c r="C36" s="117"/>
      <c r="D36" s="117"/>
      <c r="F36" s="117"/>
      <c r="G36" s="117"/>
      <c r="K36" s="123"/>
    </row>
    <row r="37" spans="2:11" ht="15.6" customHeight="1" thickBot="1" x14ac:dyDescent="0.35">
      <c r="B37" s="126"/>
      <c r="C37" s="129"/>
      <c r="D37" s="129"/>
      <c r="E37" s="127"/>
      <c r="F37" s="129"/>
      <c r="G37" s="129"/>
      <c r="H37" s="127"/>
      <c r="I37" s="127"/>
      <c r="J37" s="127"/>
      <c r="K37" s="128"/>
    </row>
    <row r="38" spans="2:11" ht="25.8" x14ac:dyDescent="0.5">
      <c r="B38" s="122"/>
      <c r="C38" s="125" t="s">
        <v>107</v>
      </c>
      <c r="K38" s="123"/>
    </row>
    <row r="39" spans="2:11" ht="16.2" thickBot="1" x14ac:dyDescent="0.35">
      <c r="B39" s="122"/>
      <c r="K39" s="123"/>
    </row>
    <row r="40" spans="2:11" ht="16.2" thickBot="1" x14ac:dyDescent="0.35">
      <c r="B40" s="122"/>
      <c r="C40" s="141" t="s">
        <v>108</v>
      </c>
      <c r="D40" s="142"/>
      <c r="H40" s="141" t="s">
        <v>109</v>
      </c>
      <c r="I40" s="142"/>
      <c r="K40" s="123"/>
    </row>
    <row r="41" spans="2:11" x14ac:dyDescent="0.3">
      <c r="B41" s="122"/>
      <c r="C41" s="112" t="s">
        <v>122</v>
      </c>
      <c r="D41" s="112" t="s">
        <v>73</v>
      </c>
      <c r="H41" s="112" t="s">
        <v>110</v>
      </c>
      <c r="I41" s="112" t="s">
        <v>73</v>
      </c>
      <c r="K41" s="123"/>
    </row>
    <row r="42" spans="2:11" x14ac:dyDescent="0.3">
      <c r="B42" s="122"/>
      <c r="C42" s="107" t="s">
        <v>111</v>
      </c>
      <c r="D42" s="108">
        <v>2564839</v>
      </c>
      <c r="H42" s="107" t="s">
        <v>112</v>
      </c>
      <c r="I42" s="108">
        <v>3827480</v>
      </c>
      <c r="K42" s="123"/>
    </row>
    <row r="43" spans="2:11" x14ac:dyDescent="0.3">
      <c r="B43" s="122"/>
      <c r="C43" s="107" t="s">
        <v>113</v>
      </c>
      <c r="D43" s="108">
        <v>1295748</v>
      </c>
      <c r="H43" s="107" t="s">
        <v>114</v>
      </c>
      <c r="I43" s="108">
        <v>1940392</v>
      </c>
      <c r="K43" s="123"/>
    </row>
    <row r="44" spans="2:11" x14ac:dyDescent="0.3">
      <c r="B44" s="122"/>
      <c r="C44" s="107" t="s">
        <v>115</v>
      </c>
      <c r="D44" s="108">
        <v>4928465</v>
      </c>
      <c r="H44" s="107" t="s">
        <v>116</v>
      </c>
      <c r="I44" s="108">
        <v>1839274</v>
      </c>
      <c r="K44" s="123"/>
    </row>
    <row r="45" spans="2:11" x14ac:dyDescent="0.3">
      <c r="B45" s="122"/>
      <c r="C45" s="107" t="s">
        <v>84</v>
      </c>
      <c r="D45" s="108"/>
      <c r="H45" s="107" t="s">
        <v>84</v>
      </c>
      <c r="I45" s="108"/>
      <c r="K45" s="123"/>
    </row>
    <row r="46" spans="2:11" x14ac:dyDescent="0.3">
      <c r="B46" s="122"/>
      <c r="K46" s="123"/>
    </row>
    <row r="47" spans="2:11" x14ac:dyDescent="0.3">
      <c r="B47" s="122"/>
      <c r="K47" s="123"/>
    </row>
    <row r="48" spans="2:11" x14ac:dyDescent="0.3">
      <c r="B48" s="122"/>
      <c r="K48" s="123"/>
    </row>
    <row r="49" spans="2:11" x14ac:dyDescent="0.3">
      <c r="B49" s="122"/>
      <c r="K49" s="123"/>
    </row>
    <row r="50" spans="2:11" x14ac:dyDescent="0.3">
      <c r="B50" s="122"/>
      <c r="K50" s="123"/>
    </row>
    <row r="51" spans="2:11" x14ac:dyDescent="0.3">
      <c r="B51" s="122"/>
      <c r="K51" s="123"/>
    </row>
    <row r="52" spans="2:11" x14ac:dyDescent="0.3">
      <c r="B52" s="122"/>
      <c r="K52" s="123"/>
    </row>
    <row r="53" spans="2:11" x14ac:dyDescent="0.3">
      <c r="B53" s="122"/>
      <c r="K53" s="123"/>
    </row>
    <row r="54" spans="2:11" x14ac:dyDescent="0.3">
      <c r="B54" s="122"/>
      <c r="K54" s="123"/>
    </row>
    <row r="55" spans="2:11" x14ac:dyDescent="0.3">
      <c r="B55" s="122"/>
      <c r="K55" s="123"/>
    </row>
    <row r="56" spans="2:11" x14ac:dyDescent="0.3">
      <c r="B56" s="122"/>
      <c r="K56" s="123"/>
    </row>
    <row r="57" spans="2:11" x14ac:dyDescent="0.3">
      <c r="B57" s="122"/>
      <c r="K57" s="123"/>
    </row>
    <row r="58" spans="2:11" x14ac:dyDescent="0.3">
      <c r="B58" s="122"/>
      <c r="K58" s="123"/>
    </row>
    <row r="59" spans="2:11" x14ac:dyDescent="0.3">
      <c r="B59" s="122"/>
      <c r="K59" s="123"/>
    </row>
    <row r="60" spans="2:11" ht="16.2" thickBot="1" x14ac:dyDescent="0.35">
      <c r="B60" s="126"/>
      <c r="C60" s="127"/>
      <c r="D60" s="127"/>
      <c r="E60" s="127"/>
      <c r="F60" s="127"/>
      <c r="G60" s="127"/>
      <c r="H60" s="127"/>
      <c r="I60" s="127"/>
      <c r="J60" s="127"/>
      <c r="K60" s="128"/>
    </row>
  </sheetData>
  <mergeCells count="14">
    <mergeCell ref="M4:N4"/>
    <mergeCell ref="C25:D25"/>
    <mergeCell ref="F25:G25"/>
    <mergeCell ref="N25:O25"/>
    <mergeCell ref="I14:J16"/>
    <mergeCell ref="I17:J19"/>
    <mergeCell ref="F33:G33"/>
    <mergeCell ref="C4:D4"/>
    <mergeCell ref="F4:G4"/>
    <mergeCell ref="F34:G35"/>
    <mergeCell ref="C33:D33"/>
    <mergeCell ref="C34:D35"/>
    <mergeCell ref="C40:D40"/>
    <mergeCell ref="H40:I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A44C-AEAB-4B18-BAE4-813555C95046}">
  <dimension ref="B3:C10"/>
  <sheetViews>
    <sheetView workbookViewId="0">
      <selection activeCell="C17" sqref="C17"/>
    </sheetView>
  </sheetViews>
  <sheetFormatPr defaultRowHeight="14.4" x14ac:dyDescent="0.3"/>
  <cols>
    <col min="2" max="2" width="32.109375" bestFit="1" customWidth="1"/>
    <col min="3" max="3" width="72.88671875" bestFit="1" customWidth="1"/>
  </cols>
  <sheetData>
    <row r="3" spans="2:3" x14ac:dyDescent="0.3">
      <c r="B3" s="1" t="s">
        <v>12</v>
      </c>
      <c r="C3" s="1" t="s">
        <v>13</v>
      </c>
    </row>
    <row r="4" spans="2:3" x14ac:dyDescent="0.3">
      <c r="B4" t="s">
        <v>3</v>
      </c>
      <c r="C4" t="s">
        <v>14</v>
      </c>
    </row>
    <row r="5" spans="2:3" x14ac:dyDescent="0.3">
      <c r="B5" t="s">
        <v>4</v>
      </c>
      <c r="C5" t="s">
        <v>15</v>
      </c>
    </row>
    <row r="6" spans="2:3" x14ac:dyDescent="0.3">
      <c r="B6" t="s">
        <v>5</v>
      </c>
      <c r="C6" t="s">
        <v>16</v>
      </c>
    </row>
    <row r="7" spans="2:3" x14ac:dyDescent="0.3">
      <c r="B7" t="s">
        <v>6</v>
      </c>
      <c r="C7" t="s">
        <v>17</v>
      </c>
    </row>
    <row r="8" spans="2:3" x14ac:dyDescent="0.3">
      <c r="B8" t="s">
        <v>18</v>
      </c>
      <c r="C8" t="s">
        <v>19</v>
      </c>
    </row>
    <row r="9" spans="2:3" x14ac:dyDescent="0.3">
      <c r="B9" t="s">
        <v>20</v>
      </c>
      <c r="C9" t="s">
        <v>21</v>
      </c>
    </row>
    <row r="10" spans="2:3" x14ac:dyDescent="0.3">
      <c r="B10" t="s">
        <v>22</v>
      </c>
      <c r="C10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E4B8-5850-45D4-88EB-76C15DB9E258}">
  <dimension ref="B2:BG33"/>
  <sheetViews>
    <sheetView tabSelected="1" topLeftCell="B1" zoomScale="87" zoomScaleNormal="87" workbookViewId="0">
      <selection activeCell="BG3" sqref="BG3:BK11"/>
    </sheetView>
  </sheetViews>
  <sheetFormatPr defaultRowHeight="14.4" x14ac:dyDescent="0.3"/>
  <cols>
    <col min="2" max="2" width="12.44140625" bestFit="1" customWidth="1"/>
    <col min="3" max="3" width="17.6640625" bestFit="1" customWidth="1"/>
    <col min="4" max="4" width="17.44140625" bestFit="1" customWidth="1"/>
    <col min="5" max="5" width="12.5546875" bestFit="1" customWidth="1"/>
    <col min="6" max="6" width="14.109375" customWidth="1"/>
    <col min="7" max="7" width="13.21875" customWidth="1"/>
    <col min="8" max="8" width="11.5546875" customWidth="1"/>
    <col min="9" max="9" width="12.21875" customWidth="1"/>
    <col min="10" max="10" width="11.5546875" bestFit="1" customWidth="1"/>
    <col min="11" max="11" width="10.21875" bestFit="1" customWidth="1"/>
    <col min="12" max="12" width="17" customWidth="1"/>
    <col min="13" max="13" width="16.44140625" customWidth="1"/>
    <col min="14" max="15" width="14.88671875" customWidth="1"/>
    <col min="16" max="17" width="18" customWidth="1"/>
    <col min="18" max="21" width="19.5546875" customWidth="1"/>
    <col min="22" max="22" width="14.88671875" customWidth="1"/>
    <col min="23" max="23" width="16.33203125" customWidth="1"/>
    <col min="29" max="29" width="10.5546875" bestFit="1" customWidth="1"/>
    <col min="30" max="30" width="12.88671875" bestFit="1" customWidth="1"/>
    <col min="31" max="31" width="9.5546875" bestFit="1" customWidth="1"/>
    <col min="32" max="32" width="12.109375" bestFit="1" customWidth="1"/>
    <col min="33" max="33" width="11.77734375" customWidth="1"/>
    <col min="34" max="34" width="20.109375" bestFit="1" customWidth="1"/>
    <col min="35" max="35" width="25" bestFit="1" customWidth="1"/>
    <col min="38" max="38" width="11.77734375" customWidth="1"/>
    <col min="39" max="39" width="12.5546875" customWidth="1"/>
    <col min="40" max="40" width="12.109375" customWidth="1"/>
    <col min="41" max="41" width="10.21875" customWidth="1"/>
    <col min="42" max="42" width="12.44140625" customWidth="1"/>
    <col min="43" max="43" width="11.88671875" customWidth="1"/>
    <col min="46" max="46" width="8.88671875" customWidth="1"/>
    <col min="47" max="47" width="15.109375" customWidth="1"/>
    <col min="48" max="48" width="13.44140625" customWidth="1"/>
    <col min="49" max="50" width="12.6640625" customWidth="1"/>
    <col min="51" max="51" width="20.109375" bestFit="1" customWidth="1"/>
    <col min="52" max="52" width="25" bestFit="1" customWidth="1"/>
    <col min="59" max="59" width="12.77734375" bestFit="1" customWidth="1"/>
    <col min="60" max="60" width="13.77734375" customWidth="1"/>
    <col min="61" max="61" width="13.88671875" bestFit="1" customWidth="1"/>
    <col min="62" max="62" width="24.77734375" bestFit="1" customWidth="1"/>
  </cols>
  <sheetData>
    <row r="2" spans="2:59" ht="26.4" x14ac:dyDescent="0.3">
      <c r="B2" s="3" t="s">
        <v>11</v>
      </c>
      <c r="C2" s="3" t="s">
        <v>0</v>
      </c>
      <c r="D2" s="3" t="s">
        <v>1</v>
      </c>
      <c r="E2" s="3" t="s">
        <v>2</v>
      </c>
      <c r="F2" s="3" t="s">
        <v>36</v>
      </c>
      <c r="G2" s="3" t="s">
        <v>3</v>
      </c>
      <c r="H2" s="3" t="s">
        <v>28</v>
      </c>
      <c r="I2" s="3" t="s">
        <v>4</v>
      </c>
      <c r="J2" s="3" t="s">
        <v>29</v>
      </c>
      <c r="K2" s="3" t="s">
        <v>5</v>
      </c>
      <c r="L2" s="3" t="s">
        <v>6</v>
      </c>
      <c r="M2" s="3" t="s">
        <v>7</v>
      </c>
      <c r="N2" s="18" t="s">
        <v>18</v>
      </c>
      <c r="O2" s="3" t="s">
        <v>35</v>
      </c>
      <c r="P2" s="3" t="s">
        <v>20</v>
      </c>
      <c r="Q2" s="3" t="s">
        <v>31</v>
      </c>
      <c r="R2" s="3" t="s">
        <v>22</v>
      </c>
      <c r="S2" s="3" t="s">
        <v>32</v>
      </c>
      <c r="T2" s="3" t="s">
        <v>33</v>
      </c>
      <c r="U2" s="3" t="s">
        <v>34</v>
      </c>
      <c r="V2" s="3" t="s">
        <v>24</v>
      </c>
      <c r="W2" s="3" t="s">
        <v>25</v>
      </c>
      <c r="X2" s="3" t="s">
        <v>26</v>
      </c>
      <c r="Y2" s="3" t="s">
        <v>27</v>
      </c>
    </row>
    <row r="3" spans="2:59" x14ac:dyDescent="0.3">
      <c r="B3" s="2">
        <v>1</v>
      </c>
      <c r="C3" s="4">
        <v>45753</v>
      </c>
      <c r="D3" s="5" t="s">
        <v>8</v>
      </c>
      <c r="E3" s="5">
        <v>7</v>
      </c>
      <c r="F3" s="5"/>
      <c r="G3" s="5">
        <v>6</v>
      </c>
      <c r="H3" s="12">
        <f t="shared" ref="H3:H15" si="0">G3/E3</f>
        <v>0.8571428571428571</v>
      </c>
      <c r="I3" s="5">
        <v>1</v>
      </c>
      <c r="J3" s="12">
        <f t="shared" ref="J3:J15" si="1">1-H3</f>
        <v>0.1428571428571429</v>
      </c>
      <c r="K3" s="6">
        <v>12100</v>
      </c>
      <c r="L3" s="6">
        <v>4321</v>
      </c>
      <c r="M3" s="8">
        <v>0.35709999999999997</v>
      </c>
      <c r="N3" s="7">
        <v>23000</v>
      </c>
      <c r="O3" s="7"/>
      <c r="P3" s="7">
        <v>3650</v>
      </c>
      <c r="Q3" s="11">
        <f>P3/N3</f>
        <v>0.15869565217391304</v>
      </c>
      <c r="R3" s="7">
        <v>2100</v>
      </c>
      <c r="S3" s="11">
        <f>R3/N3</f>
        <v>9.1304347826086957E-2</v>
      </c>
      <c r="T3" s="10">
        <f>K3/P3</f>
        <v>3.3150684931506849</v>
      </c>
      <c r="U3" s="9">
        <f>L3/R3</f>
        <v>2.0576190476190477</v>
      </c>
      <c r="V3" s="5">
        <v>4</v>
      </c>
      <c r="W3" s="5">
        <v>3</v>
      </c>
      <c r="X3" s="5">
        <v>0</v>
      </c>
      <c r="Y3" s="5">
        <v>0</v>
      </c>
      <c r="AC3" s="133" t="s">
        <v>1</v>
      </c>
      <c r="AD3" s="1" t="s">
        <v>51</v>
      </c>
      <c r="AE3" s="1" t="s">
        <v>52</v>
      </c>
      <c r="AF3" s="1" t="s">
        <v>53</v>
      </c>
      <c r="AG3" s="1" t="s">
        <v>54</v>
      </c>
      <c r="AH3" s="1" t="s">
        <v>55</v>
      </c>
      <c r="AI3" s="1" t="s">
        <v>56</v>
      </c>
      <c r="AL3" t="s">
        <v>51</v>
      </c>
      <c r="AM3" t="s">
        <v>52</v>
      </c>
      <c r="AN3" t="s">
        <v>53</v>
      </c>
    </row>
    <row r="4" spans="2:59" x14ac:dyDescent="0.3">
      <c r="B4" s="2">
        <v>2</v>
      </c>
      <c r="C4" s="4">
        <v>45760</v>
      </c>
      <c r="D4" s="5" t="s">
        <v>8</v>
      </c>
      <c r="E4" s="5">
        <v>8</v>
      </c>
      <c r="F4" s="11">
        <f>E4/E3-1</f>
        <v>0.14285714285714279</v>
      </c>
      <c r="G4" s="5">
        <v>7</v>
      </c>
      <c r="H4" s="12">
        <f t="shared" si="0"/>
        <v>0.875</v>
      </c>
      <c r="I4" s="5">
        <v>1</v>
      </c>
      <c r="J4" s="12">
        <f t="shared" si="1"/>
        <v>0.125</v>
      </c>
      <c r="K4" s="6">
        <v>13400</v>
      </c>
      <c r="L4" s="6">
        <v>4810</v>
      </c>
      <c r="M4" s="8">
        <v>0.35899999999999999</v>
      </c>
      <c r="N4" s="7">
        <v>23120</v>
      </c>
      <c r="O4" s="13">
        <f>N4/N3-1</f>
        <v>5.2173913043478404E-3</v>
      </c>
      <c r="P4" s="7">
        <v>3710</v>
      </c>
      <c r="Q4" s="11">
        <f t="shared" ref="Q4:Q15" si="2">P4/N4</f>
        <v>0.16046712802768165</v>
      </c>
      <c r="R4" s="7">
        <v>2045</v>
      </c>
      <c r="S4" s="11">
        <f t="shared" ref="S4:S15" si="3">R4/N4</f>
        <v>8.8451557093425601E-2</v>
      </c>
      <c r="T4" s="10">
        <f t="shared" ref="T4:T15" si="4">K4/P4</f>
        <v>3.6118598382749325</v>
      </c>
      <c r="U4" s="9">
        <f t="shared" ref="U4:U15" si="5">L4/R4</f>
        <v>2.3520782396088018</v>
      </c>
      <c r="V4" s="5">
        <v>5</v>
      </c>
      <c r="W4" s="5">
        <v>3</v>
      </c>
      <c r="X4" s="5">
        <v>0</v>
      </c>
      <c r="Y4" s="5">
        <v>0</v>
      </c>
      <c r="AC4" s="1" t="s">
        <v>8</v>
      </c>
      <c r="AD4" s="1">
        <v>28</v>
      </c>
      <c r="AE4" s="1">
        <v>25</v>
      </c>
      <c r="AF4" s="1">
        <v>3</v>
      </c>
      <c r="AG4" s="134">
        <v>95540</v>
      </c>
      <c r="AH4" s="134">
        <v>14903</v>
      </c>
      <c r="AI4" s="134">
        <v>8335</v>
      </c>
      <c r="AL4">
        <v>28</v>
      </c>
      <c r="AM4">
        <v>25</v>
      </c>
      <c r="AN4">
        <v>3</v>
      </c>
      <c r="BG4" s="1"/>
    </row>
    <row r="5" spans="2:59" x14ac:dyDescent="0.3">
      <c r="B5" s="2">
        <v>3</v>
      </c>
      <c r="C5" s="4">
        <v>45767</v>
      </c>
      <c r="D5" s="5" t="s">
        <v>8</v>
      </c>
      <c r="E5" s="5">
        <v>8</v>
      </c>
      <c r="F5" s="11">
        <f t="shared" ref="F5:F15" si="6">E5/E4-1</f>
        <v>0</v>
      </c>
      <c r="G5" s="5">
        <v>7</v>
      </c>
      <c r="H5" s="12">
        <f t="shared" si="0"/>
        <v>0.875</v>
      </c>
      <c r="I5" s="5">
        <v>1</v>
      </c>
      <c r="J5" s="12">
        <f t="shared" si="1"/>
        <v>0.125</v>
      </c>
      <c r="K5" s="6">
        <v>12500</v>
      </c>
      <c r="L5" s="6">
        <v>4610</v>
      </c>
      <c r="M5" s="8">
        <v>0.36880000000000002</v>
      </c>
      <c r="N5" s="7">
        <v>24100</v>
      </c>
      <c r="O5" s="13">
        <f t="shared" ref="O5:O15" si="7">N5/N4-1</f>
        <v>4.2387543252595083E-2</v>
      </c>
      <c r="P5" s="7">
        <v>3643</v>
      </c>
      <c r="Q5" s="11">
        <f t="shared" si="2"/>
        <v>0.15116182572614109</v>
      </c>
      <c r="R5" s="7">
        <v>2210</v>
      </c>
      <c r="S5" s="11">
        <f t="shared" si="3"/>
        <v>9.1701244813278002E-2</v>
      </c>
      <c r="T5" s="10">
        <f t="shared" si="4"/>
        <v>3.4312379906670327</v>
      </c>
      <c r="U5" s="9">
        <f t="shared" si="5"/>
        <v>2.0859728506787332</v>
      </c>
      <c r="V5" s="5">
        <v>5</v>
      </c>
      <c r="W5" s="5">
        <v>3</v>
      </c>
      <c r="X5" s="5">
        <v>0</v>
      </c>
      <c r="Y5" s="5">
        <v>0</v>
      </c>
      <c r="AC5" s="1" t="s">
        <v>9</v>
      </c>
      <c r="AD5" s="1">
        <v>43</v>
      </c>
      <c r="AE5" s="1">
        <v>28</v>
      </c>
      <c r="AF5" s="1">
        <v>15</v>
      </c>
      <c r="AG5" s="134">
        <v>110200</v>
      </c>
      <c r="AH5" s="134">
        <v>17480</v>
      </c>
      <c r="AI5" s="134">
        <v>9490</v>
      </c>
      <c r="AL5">
        <v>43</v>
      </c>
      <c r="AM5">
        <v>28</v>
      </c>
      <c r="AN5">
        <v>15</v>
      </c>
      <c r="BG5" s="1"/>
    </row>
    <row r="6" spans="2:59" ht="15" thickBot="1" x14ac:dyDescent="0.35">
      <c r="B6" s="19">
        <v>4</v>
      </c>
      <c r="C6" s="20">
        <v>45774</v>
      </c>
      <c r="D6" s="21" t="s">
        <v>8</v>
      </c>
      <c r="E6" s="21">
        <v>5</v>
      </c>
      <c r="F6" s="22">
        <f t="shared" si="6"/>
        <v>-0.375</v>
      </c>
      <c r="G6" s="21">
        <v>5</v>
      </c>
      <c r="H6" s="23">
        <f t="shared" si="0"/>
        <v>1</v>
      </c>
      <c r="I6" s="21">
        <v>0</v>
      </c>
      <c r="J6" s="23">
        <f t="shared" si="1"/>
        <v>0</v>
      </c>
      <c r="K6" s="24">
        <v>11340</v>
      </c>
      <c r="L6" s="24">
        <v>3610</v>
      </c>
      <c r="M6" s="25">
        <v>0.31830000000000003</v>
      </c>
      <c r="N6" s="26">
        <v>25320</v>
      </c>
      <c r="O6" s="27">
        <f t="shared" si="7"/>
        <v>5.0622406639004192E-2</v>
      </c>
      <c r="P6" s="26">
        <v>3900</v>
      </c>
      <c r="Q6" s="22">
        <f t="shared" si="2"/>
        <v>0.15402843601895735</v>
      </c>
      <c r="R6" s="26">
        <v>1980</v>
      </c>
      <c r="S6" s="22">
        <f t="shared" si="3"/>
        <v>7.8199052132701424E-2</v>
      </c>
      <c r="T6" s="28">
        <f t="shared" si="4"/>
        <v>2.9076923076923076</v>
      </c>
      <c r="U6" s="29">
        <f t="shared" si="5"/>
        <v>1.8232323232323233</v>
      </c>
      <c r="V6" s="21">
        <v>2</v>
      </c>
      <c r="W6" s="21">
        <v>0</v>
      </c>
      <c r="X6" s="21">
        <v>3</v>
      </c>
      <c r="Y6" s="21">
        <v>0</v>
      </c>
      <c r="AC6" s="1" t="s">
        <v>10</v>
      </c>
      <c r="AD6" s="1">
        <v>28</v>
      </c>
      <c r="AE6" s="1">
        <v>25</v>
      </c>
      <c r="AF6" s="1">
        <v>3</v>
      </c>
      <c r="AG6" s="134">
        <v>137760</v>
      </c>
      <c r="AH6" s="134">
        <v>23277</v>
      </c>
      <c r="AI6" s="134">
        <v>7776</v>
      </c>
      <c r="AL6">
        <v>28</v>
      </c>
      <c r="AM6">
        <v>25</v>
      </c>
      <c r="AN6">
        <v>3</v>
      </c>
      <c r="BG6" s="1"/>
    </row>
    <row r="7" spans="2:59" x14ac:dyDescent="0.3">
      <c r="B7" s="41">
        <v>5</v>
      </c>
      <c r="C7" s="42">
        <v>45781</v>
      </c>
      <c r="D7" s="43" t="s">
        <v>9</v>
      </c>
      <c r="E7" s="43">
        <v>10</v>
      </c>
      <c r="F7" s="44">
        <f t="shared" si="6"/>
        <v>1</v>
      </c>
      <c r="G7" s="43">
        <v>7</v>
      </c>
      <c r="H7" s="45">
        <f t="shared" si="0"/>
        <v>0.7</v>
      </c>
      <c r="I7" s="43">
        <v>3</v>
      </c>
      <c r="J7" s="45">
        <f t="shared" si="1"/>
        <v>0.30000000000000004</v>
      </c>
      <c r="K7" s="46">
        <v>15220</v>
      </c>
      <c r="L7" s="46">
        <v>6540</v>
      </c>
      <c r="M7" s="47">
        <v>0.42970000000000003</v>
      </c>
      <c r="N7" s="48">
        <v>25800</v>
      </c>
      <c r="O7" s="49">
        <f t="shared" si="7"/>
        <v>1.8957345971563955E-2</v>
      </c>
      <c r="P7" s="48">
        <v>4100</v>
      </c>
      <c r="Q7" s="44">
        <f t="shared" si="2"/>
        <v>0.15891472868217055</v>
      </c>
      <c r="R7" s="48">
        <v>2350</v>
      </c>
      <c r="S7" s="44">
        <f t="shared" si="3"/>
        <v>9.1085271317829453E-2</v>
      </c>
      <c r="T7" s="50">
        <f t="shared" si="4"/>
        <v>3.7121951219512197</v>
      </c>
      <c r="U7" s="51">
        <f t="shared" si="5"/>
        <v>2.7829787234042551</v>
      </c>
      <c r="V7" s="43">
        <v>6</v>
      </c>
      <c r="W7" s="43">
        <v>0</v>
      </c>
      <c r="X7" s="43">
        <v>1</v>
      </c>
      <c r="Y7" s="52">
        <v>3</v>
      </c>
      <c r="AC7" s="1" t="s">
        <v>50</v>
      </c>
      <c r="AD7" s="1">
        <v>99</v>
      </c>
      <c r="AE7" s="1">
        <v>78</v>
      </c>
      <c r="AF7" s="1">
        <v>21</v>
      </c>
      <c r="AG7" s="134">
        <v>343500</v>
      </c>
      <c r="AH7" s="134">
        <v>55660</v>
      </c>
      <c r="AI7" s="134">
        <v>25601</v>
      </c>
      <c r="BG7" s="1"/>
    </row>
    <row r="8" spans="2:59" x14ac:dyDescent="0.3">
      <c r="B8" s="53">
        <v>6</v>
      </c>
      <c r="C8" s="4">
        <v>45788</v>
      </c>
      <c r="D8" s="5" t="s">
        <v>9</v>
      </c>
      <c r="E8" s="5">
        <v>9</v>
      </c>
      <c r="F8" s="11">
        <f t="shared" si="6"/>
        <v>-9.9999999999999978E-2</v>
      </c>
      <c r="G8" s="5">
        <v>6</v>
      </c>
      <c r="H8" s="12">
        <f t="shared" si="0"/>
        <v>0.66666666666666663</v>
      </c>
      <c r="I8" s="5">
        <v>3</v>
      </c>
      <c r="J8" s="12">
        <f t="shared" si="1"/>
        <v>0.33333333333333337</v>
      </c>
      <c r="K8" s="6">
        <v>13988</v>
      </c>
      <c r="L8" s="6">
        <v>5621</v>
      </c>
      <c r="M8" s="8">
        <v>0.40179999999999999</v>
      </c>
      <c r="N8" s="7">
        <v>27100</v>
      </c>
      <c r="O8" s="13">
        <f t="shared" si="7"/>
        <v>5.0387596899224896E-2</v>
      </c>
      <c r="P8" s="7">
        <v>4320</v>
      </c>
      <c r="Q8" s="11">
        <f t="shared" si="2"/>
        <v>0.15940959409594097</v>
      </c>
      <c r="R8" s="7">
        <v>2410</v>
      </c>
      <c r="S8" s="11">
        <f t="shared" si="3"/>
        <v>8.8929889298892992E-2</v>
      </c>
      <c r="T8" s="10">
        <f t="shared" si="4"/>
        <v>3.2379629629629632</v>
      </c>
      <c r="U8" s="9">
        <f t="shared" si="5"/>
        <v>2.3323651452282159</v>
      </c>
      <c r="V8" s="5">
        <v>3</v>
      </c>
      <c r="W8" s="5">
        <v>3</v>
      </c>
      <c r="X8" s="5">
        <v>0</v>
      </c>
      <c r="Y8" s="54">
        <v>3</v>
      </c>
    </row>
    <row r="9" spans="2:59" ht="15" thickBot="1" x14ac:dyDescent="0.35">
      <c r="B9" s="53">
        <v>7</v>
      </c>
      <c r="C9" s="4">
        <v>45795</v>
      </c>
      <c r="D9" s="5" t="s">
        <v>9</v>
      </c>
      <c r="E9" s="5">
        <v>14</v>
      </c>
      <c r="F9" s="11">
        <f t="shared" si="6"/>
        <v>0.55555555555555558</v>
      </c>
      <c r="G9" s="5">
        <v>9</v>
      </c>
      <c r="H9" s="12">
        <f t="shared" si="0"/>
        <v>0.6428571428571429</v>
      </c>
      <c r="I9" s="5">
        <v>5</v>
      </c>
      <c r="J9" s="12">
        <f t="shared" si="1"/>
        <v>0.3571428571428571</v>
      </c>
      <c r="K9" s="6">
        <v>25432</v>
      </c>
      <c r="L9" s="6">
        <v>9765</v>
      </c>
      <c r="M9" s="8">
        <v>0.38400000000000001</v>
      </c>
      <c r="N9" s="7">
        <v>29100</v>
      </c>
      <c r="O9" s="13">
        <f t="shared" si="7"/>
        <v>7.3800738007380184E-2</v>
      </c>
      <c r="P9" s="7">
        <v>4450</v>
      </c>
      <c r="Q9" s="11">
        <f t="shared" si="2"/>
        <v>0.15292096219931273</v>
      </c>
      <c r="R9" s="7">
        <v>2499</v>
      </c>
      <c r="S9" s="11">
        <f t="shared" si="3"/>
        <v>8.5876288659793812E-2</v>
      </c>
      <c r="T9" s="10">
        <f t="shared" si="4"/>
        <v>5.7150561797752806</v>
      </c>
      <c r="U9" s="9">
        <f t="shared" si="5"/>
        <v>3.9075630252100839</v>
      </c>
      <c r="V9" s="5">
        <v>3</v>
      </c>
      <c r="W9" s="5">
        <v>5</v>
      </c>
      <c r="X9" s="5">
        <v>0</v>
      </c>
      <c r="Y9" s="54">
        <v>6</v>
      </c>
      <c r="AC9" s="15" t="s">
        <v>1</v>
      </c>
      <c r="AD9" t="s">
        <v>47</v>
      </c>
      <c r="AE9" t="s">
        <v>46</v>
      </c>
      <c r="AF9" t="s">
        <v>44</v>
      </c>
      <c r="AG9" t="s">
        <v>45</v>
      </c>
      <c r="AH9" t="s">
        <v>48</v>
      </c>
      <c r="AI9" t="s">
        <v>49</v>
      </c>
      <c r="AL9" t="s">
        <v>1</v>
      </c>
      <c r="AM9" t="s">
        <v>47</v>
      </c>
      <c r="AN9" t="s">
        <v>46</v>
      </c>
      <c r="AO9" t="s">
        <v>44</v>
      </c>
      <c r="AP9" t="s">
        <v>45</v>
      </c>
      <c r="AQ9" t="s">
        <v>48</v>
      </c>
      <c r="AR9" t="s">
        <v>49</v>
      </c>
      <c r="AT9" s="151" t="s">
        <v>57</v>
      </c>
      <c r="AU9" s="151"/>
      <c r="AV9" s="151"/>
      <c r="AW9" s="151"/>
      <c r="AX9" s="151"/>
      <c r="AY9" s="151"/>
      <c r="AZ9" s="152"/>
    </row>
    <row r="10" spans="2:59" ht="15" thickBot="1" x14ac:dyDescent="0.35">
      <c r="B10" s="55">
        <v>8</v>
      </c>
      <c r="C10" s="56">
        <v>45802</v>
      </c>
      <c r="D10" s="57" t="s">
        <v>9</v>
      </c>
      <c r="E10" s="57">
        <v>10</v>
      </c>
      <c r="F10" s="58">
        <f t="shared" si="6"/>
        <v>-0.2857142857142857</v>
      </c>
      <c r="G10" s="57">
        <v>6</v>
      </c>
      <c r="H10" s="59">
        <f t="shared" si="0"/>
        <v>0.6</v>
      </c>
      <c r="I10" s="57">
        <v>4</v>
      </c>
      <c r="J10" s="59">
        <f t="shared" si="1"/>
        <v>0.4</v>
      </c>
      <c r="K10" s="60">
        <v>15220</v>
      </c>
      <c r="L10" s="60">
        <v>6921</v>
      </c>
      <c r="M10" s="61">
        <v>0.45469999999999999</v>
      </c>
      <c r="N10" s="62">
        <v>28200</v>
      </c>
      <c r="O10" s="63">
        <f t="shared" si="7"/>
        <v>-3.0927835051546393E-2</v>
      </c>
      <c r="P10" s="62">
        <v>4610</v>
      </c>
      <c r="Q10" s="58">
        <f t="shared" si="2"/>
        <v>0.16347517730496453</v>
      </c>
      <c r="R10" s="62">
        <v>2231</v>
      </c>
      <c r="S10" s="58">
        <f t="shared" si="3"/>
        <v>7.9113475177304965E-2</v>
      </c>
      <c r="T10" s="64">
        <f t="shared" si="4"/>
        <v>3.3015184381778742</v>
      </c>
      <c r="U10" s="65">
        <f t="shared" si="5"/>
        <v>3.1021963245181534</v>
      </c>
      <c r="V10" s="57">
        <v>3</v>
      </c>
      <c r="W10" s="57">
        <v>5</v>
      </c>
      <c r="X10" s="57">
        <v>0</v>
      </c>
      <c r="Y10" s="66">
        <v>2</v>
      </c>
      <c r="AC10" s="16" t="s">
        <v>8</v>
      </c>
      <c r="AD10">
        <v>7</v>
      </c>
      <c r="AE10">
        <v>6.25</v>
      </c>
      <c r="AF10">
        <v>0.75</v>
      </c>
      <c r="AG10" s="17">
        <v>23885</v>
      </c>
      <c r="AH10" s="17">
        <v>3725.75</v>
      </c>
      <c r="AI10" s="17">
        <v>2083.75</v>
      </c>
      <c r="AL10" t="s">
        <v>8</v>
      </c>
      <c r="AM10">
        <v>7</v>
      </c>
      <c r="AN10">
        <v>6.25</v>
      </c>
      <c r="AO10">
        <v>0.75</v>
      </c>
      <c r="AP10">
        <v>23885</v>
      </c>
      <c r="AQ10">
        <v>3725.75</v>
      </c>
      <c r="AR10">
        <v>2083.75</v>
      </c>
      <c r="AT10" s="67" t="s">
        <v>1</v>
      </c>
      <c r="AU10" s="68" t="s">
        <v>47</v>
      </c>
      <c r="AV10" s="69" t="s">
        <v>46</v>
      </c>
      <c r="AW10" s="70" t="s">
        <v>44</v>
      </c>
      <c r="AX10" s="68" t="s">
        <v>45</v>
      </c>
      <c r="AY10" s="69" t="s">
        <v>48</v>
      </c>
      <c r="AZ10" s="2" t="s">
        <v>49</v>
      </c>
    </row>
    <row r="11" spans="2:59" x14ac:dyDescent="0.3">
      <c r="B11" s="30">
        <v>9</v>
      </c>
      <c r="C11" s="31">
        <v>45809</v>
      </c>
      <c r="D11" s="32" t="s">
        <v>10</v>
      </c>
      <c r="E11" s="32">
        <v>5</v>
      </c>
      <c r="F11" s="33">
        <f t="shared" si="6"/>
        <v>-0.5</v>
      </c>
      <c r="G11" s="32">
        <v>5</v>
      </c>
      <c r="H11" s="34">
        <f t="shared" si="0"/>
        <v>1</v>
      </c>
      <c r="I11" s="32">
        <v>0</v>
      </c>
      <c r="J11" s="34">
        <f t="shared" si="1"/>
        <v>0</v>
      </c>
      <c r="K11" s="35">
        <v>11612</v>
      </c>
      <c r="L11" s="35">
        <v>3100</v>
      </c>
      <c r="M11" s="36">
        <v>0.26700000000000002</v>
      </c>
      <c r="N11" s="37">
        <v>27830</v>
      </c>
      <c r="O11" s="38">
        <f t="shared" si="7"/>
        <v>-1.3120567375886516E-2</v>
      </c>
      <c r="P11" s="37">
        <v>4650</v>
      </c>
      <c r="Q11" s="33">
        <f t="shared" si="2"/>
        <v>0.16708587854832915</v>
      </c>
      <c r="R11" s="37">
        <v>1762</v>
      </c>
      <c r="S11" s="33">
        <f t="shared" si="3"/>
        <v>6.3312971613366867E-2</v>
      </c>
      <c r="T11" s="39">
        <f t="shared" si="4"/>
        <v>2.4972043010752687</v>
      </c>
      <c r="U11" s="40">
        <f t="shared" si="5"/>
        <v>1.7593643586833143</v>
      </c>
      <c r="V11" s="32">
        <v>2</v>
      </c>
      <c r="W11" s="32">
        <v>0</v>
      </c>
      <c r="X11" s="32">
        <v>3</v>
      </c>
      <c r="Y11" s="32">
        <v>0</v>
      </c>
      <c r="AC11" s="16" t="s">
        <v>9</v>
      </c>
      <c r="AD11">
        <v>10.75</v>
      </c>
      <c r="AE11">
        <v>7</v>
      </c>
      <c r="AF11">
        <v>3.75</v>
      </c>
      <c r="AG11" s="17">
        <v>27550</v>
      </c>
      <c r="AH11" s="17">
        <v>4370</v>
      </c>
      <c r="AI11" s="17">
        <v>2372.5</v>
      </c>
      <c r="AL11" t="s">
        <v>9</v>
      </c>
      <c r="AM11">
        <v>10.75</v>
      </c>
      <c r="AN11">
        <v>7</v>
      </c>
      <c r="AO11">
        <v>3.75</v>
      </c>
      <c r="AP11">
        <v>27550</v>
      </c>
      <c r="AQ11">
        <v>4370</v>
      </c>
      <c r="AR11">
        <v>2372.5</v>
      </c>
      <c r="AT11" s="67" t="s">
        <v>9</v>
      </c>
      <c r="AU11" s="71">
        <f>AM11/AM10-1</f>
        <v>0.53571428571428581</v>
      </c>
      <c r="AV11" s="72">
        <f t="shared" ref="AV11:AW12" si="8">AN11/AN10-1</f>
        <v>0.12000000000000011</v>
      </c>
      <c r="AW11" s="73">
        <f t="shared" si="8"/>
        <v>4</v>
      </c>
      <c r="AX11" s="71">
        <f>AP11/AP10-1</f>
        <v>0.15344358383922962</v>
      </c>
      <c r="AY11" s="72">
        <f t="shared" ref="AY11:AY12" si="9">AQ11/AQ10-1</f>
        <v>0.17291820438837813</v>
      </c>
      <c r="AZ11" s="74">
        <f t="shared" ref="AZ11:AZ12" si="10">AR11/AR10-1</f>
        <v>0.13857228554289147</v>
      </c>
    </row>
    <row r="12" spans="2:59" ht="15" thickBot="1" x14ac:dyDescent="0.35">
      <c r="B12" s="2">
        <v>10</v>
      </c>
      <c r="C12" s="4">
        <v>45816</v>
      </c>
      <c r="D12" s="5" t="s">
        <v>10</v>
      </c>
      <c r="E12" s="5">
        <v>5</v>
      </c>
      <c r="F12" s="11">
        <f t="shared" si="6"/>
        <v>0</v>
      </c>
      <c r="G12" s="5">
        <v>5</v>
      </c>
      <c r="H12" s="12">
        <f t="shared" si="0"/>
        <v>1</v>
      </c>
      <c r="I12" s="5">
        <v>0</v>
      </c>
      <c r="J12" s="12">
        <f t="shared" si="1"/>
        <v>0</v>
      </c>
      <c r="K12" s="6">
        <v>11819</v>
      </c>
      <c r="L12" s="6">
        <v>3283</v>
      </c>
      <c r="M12" s="8">
        <v>0.27779999999999999</v>
      </c>
      <c r="N12" s="7">
        <v>27820</v>
      </c>
      <c r="O12" s="13">
        <f t="shared" si="7"/>
        <v>-3.5932446999642487E-4</v>
      </c>
      <c r="P12" s="7">
        <v>4603</v>
      </c>
      <c r="Q12" s="11">
        <f t="shared" si="2"/>
        <v>0.16545650611071172</v>
      </c>
      <c r="R12" s="7">
        <v>1634</v>
      </c>
      <c r="S12" s="11">
        <f t="shared" si="3"/>
        <v>5.8734723220704527E-2</v>
      </c>
      <c r="T12" s="10">
        <f t="shared" si="4"/>
        <v>2.5676732565718008</v>
      </c>
      <c r="U12" s="9">
        <f t="shared" si="5"/>
        <v>2.0091799265605874</v>
      </c>
      <c r="V12" s="5">
        <v>2</v>
      </c>
      <c r="W12" s="5">
        <v>0</v>
      </c>
      <c r="X12" s="5">
        <v>3</v>
      </c>
      <c r="Y12" s="5">
        <v>0</v>
      </c>
      <c r="AC12" s="16" t="s">
        <v>10</v>
      </c>
      <c r="AD12">
        <v>5.6</v>
      </c>
      <c r="AE12">
        <v>5</v>
      </c>
      <c r="AF12">
        <v>0.6</v>
      </c>
      <c r="AG12" s="17">
        <v>27552</v>
      </c>
      <c r="AH12" s="17">
        <v>4655.3999999999996</v>
      </c>
      <c r="AI12" s="17">
        <v>1555.2</v>
      </c>
      <c r="AL12" t="s">
        <v>10</v>
      </c>
      <c r="AM12">
        <v>5.6</v>
      </c>
      <c r="AN12">
        <v>5</v>
      </c>
      <c r="AO12">
        <v>0.6</v>
      </c>
      <c r="AP12">
        <v>27552</v>
      </c>
      <c r="AQ12">
        <v>4655.3999999999996</v>
      </c>
      <c r="AR12">
        <v>1555.2</v>
      </c>
      <c r="AT12" s="67" t="s">
        <v>10</v>
      </c>
      <c r="AU12" s="75">
        <f>AM12/AM11-1</f>
        <v>-0.47906976744186047</v>
      </c>
      <c r="AV12" s="72">
        <f t="shared" si="8"/>
        <v>-0.2857142857142857</v>
      </c>
      <c r="AW12" s="73">
        <f t="shared" si="8"/>
        <v>-0.84</v>
      </c>
      <c r="AX12" s="76">
        <f>AP12/AP11-1</f>
        <v>7.2595281306764292E-5</v>
      </c>
      <c r="AY12" s="77">
        <f t="shared" si="9"/>
        <v>6.5308924485125708E-2</v>
      </c>
      <c r="AZ12" s="74">
        <f t="shared" si="10"/>
        <v>-0.34448893572181238</v>
      </c>
    </row>
    <row r="13" spans="2:59" x14ac:dyDescent="0.3">
      <c r="B13" s="2">
        <v>11</v>
      </c>
      <c r="C13" s="4">
        <v>45823</v>
      </c>
      <c r="D13" s="5" t="s">
        <v>10</v>
      </c>
      <c r="E13" s="5">
        <v>6</v>
      </c>
      <c r="F13" s="11">
        <f t="shared" si="6"/>
        <v>0.19999999999999996</v>
      </c>
      <c r="G13" s="5">
        <v>5</v>
      </c>
      <c r="H13" s="12">
        <f t="shared" si="0"/>
        <v>0.83333333333333337</v>
      </c>
      <c r="I13" s="5">
        <v>1</v>
      </c>
      <c r="J13" s="12">
        <f t="shared" si="1"/>
        <v>0.16666666666666663</v>
      </c>
      <c r="K13" s="6">
        <v>12765</v>
      </c>
      <c r="L13" s="6">
        <v>3923</v>
      </c>
      <c r="M13" s="8">
        <v>0.30730000000000002</v>
      </c>
      <c r="N13" s="7">
        <v>27340</v>
      </c>
      <c r="O13" s="13">
        <f t="shared" si="7"/>
        <v>-1.7253774263120025E-2</v>
      </c>
      <c r="P13" s="7">
        <v>4610</v>
      </c>
      <c r="Q13" s="11">
        <f t="shared" si="2"/>
        <v>0.1686174103877103</v>
      </c>
      <c r="R13" s="7">
        <v>1534</v>
      </c>
      <c r="S13" s="11">
        <f t="shared" si="3"/>
        <v>5.6108266276517924E-2</v>
      </c>
      <c r="T13" s="10">
        <f t="shared" si="4"/>
        <v>2.7689804772234274</v>
      </c>
      <c r="U13" s="9">
        <f t="shared" si="5"/>
        <v>2.5573663624511083</v>
      </c>
      <c r="V13" s="5">
        <v>2</v>
      </c>
      <c r="W13" s="5">
        <v>0</v>
      </c>
      <c r="X13" s="5">
        <v>4</v>
      </c>
      <c r="Y13" s="5">
        <v>0</v>
      </c>
      <c r="AC13" s="16" t="s">
        <v>38</v>
      </c>
      <c r="AD13">
        <v>7.615384615384615</v>
      </c>
      <c r="AE13">
        <v>6</v>
      </c>
      <c r="AF13">
        <v>1.6153846153846154</v>
      </c>
      <c r="AG13" s="17">
        <v>26423.076923076922</v>
      </c>
      <c r="AH13" s="17">
        <v>4281.5384615384619</v>
      </c>
      <c r="AI13" s="17">
        <v>1969.3076923076924</v>
      </c>
    </row>
    <row r="14" spans="2:59" ht="15" thickBot="1" x14ac:dyDescent="0.35">
      <c r="B14" s="2">
        <v>12</v>
      </c>
      <c r="C14" s="4">
        <v>45830</v>
      </c>
      <c r="D14" s="5" t="s">
        <v>10</v>
      </c>
      <c r="E14" s="5">
        <v>6</v>
      </c>
      <c r="F14" s="11">
        <f t="shared" si="6"/>
        <v>0</v>
      </c>
      <c r="G14" s="5">
        <v>5</v>
      </c>
      <c r="H14" s="12">
        <f t="shared" si="0"/>
        <v>0.83333333333333337</v>
      </c>
      <c r="I14" s="5">
        <v>1</v>
      </c>
      <c r="J14" s="12">
        <f t="shared" si="1"/>
        <v>0.16666666666666663</v>
      </c>
      <c r="K14" s="6">
        <v>12910</v>
      </c>
      <c r="L14" s="6">
        <v>4100</v>
      </c>
      <c r="M14" s="8">
        <v>0.31759999999999999</v>
      </c>
      <c r="N14" s="7">
        <v>27360</v>
      </c>
      <c r="O14" s="13">
        <f t="shared" si="7"/>
        <v>7.3152889539129795E-4</v>
      </c>
      <c r="P14" s="7">
        <v>4660</v>
      </c>
      <c r="Q14" s="11">
        <f t="shared" si="2"/>
        <v>0.1703216374269006</v>
      </c>
      <c r="R14" s="7">
        <v>1612</v>
      </c>
      <c r="S14" s="11">
        <f t="shared" si="3"/>
        <v>5.8918128654970758E-2</v>
      </c>
      <c r="T14" s="10">
        <f t="shared" si="4"/>
        <v>2.7703862660944205</v>
      </c>
      <c r="U14" s="9">
        <f t="shared" si="5"/>
        <v>2.5434243176178661</v>
      </c>
      <c r="V14" s="5">
        <v>3</v>
      </c>
      <c r="W14" s="5">
        <v>0</v>
      </c>
      <c r="X14" s="5">
        <v>3</v>
      </c>
      <c r="Y14" s="5">
        <v>0</v>
      </c>
    </row>
    <row r="15" spans="2:59" ht="15" thickBot="1" x14ac:dyDescent="0.35">
      <c r="B15" s="2">
        <v>13</v>
      </c>
      <c r="C15" s="4">
        <v>45837</v>
      </c>
      <c r="D15" s="5" t="s">
        <v>10</v>
      </c>
      <c r="E15" s="5">
        <v>6</v>
      </c>
      <c r="F15" s="11">
        <f t="shared" si="6"/>
        <v>0</v>
      </c>
      <c r="G15" s="5">
        <v>5</v>
      </c>
      <c r="H15" s="12">
        <f t="shared" si="0"/>
        <v>0.83333333333333337</v>
      </c>
      <c r="I15" s="5">
        <v>1</v>
      </c>
      <c r="J15" s="12">
        <f t="shared" si="1"/>
        <v>0.16666666666666663</v>
      </c>
      <c r="K15" s="6">
        <v>13234</v>
      </c>
      <c r="L15" s="6">
        <v>4219</v>
      </c>
      <c r="M15" s="8">
        <v>0.31879999999999997</v>
      </c>
      <c r="N15" s="7">
        <v>27410</v>
      </c>
      <c r="O15" s="13">
        <f t="shared" si="7"/>
        <v>1.827485380117011E-3</v>
      </c>
      <c r="P15" s="7">
        <v>4754</v>
      </c>
      <c r="Q15" s="11">
        <f t="shared" si="2"/>
        <v>0.17344035023713972</v>
      </c>
      <c r="R15" s="7">
        <v>1234</v>
      </c>
      <c r="S15" s="11">
        <f t="shared" si="3"/>
        <v>4.5020065669463698E-2</v>
      </c>
      <c r="T15" s="10">
        <f t="shared" si="4"/>
        <v>2.7837610433319311</v>
      </c>
      <c r="U15" s="9">
        <f t="shared" si="5"/>
        <v>3.4189627228525121</v>
      </c>
      <c r="V15" s="5">
        <v>4</v>
      </c>
      <c r="W15" s="5">
        <v>0</v>
      </c>
      <c r="X15" s="5">
        <v>2</v>
      </c>
      <c r="Y15" s="5">
        <v>0</v>
      </c>
      <c r="AT15" s="87" t="s">
        <v>63</v>
      </c>
      <c r="AU15" s="88"/>
      <c r="AV15" s="89"/>
    </row>
    <row r="16" spans="2:59" ht="15" thickBot="1" x14ac:dyDescent="0.35">
      <c r="AT16" s="84" t="s">
        <v>1</v>
      </c>
      <c r="AU16" s="85" t="s">
        <v>51</v>
      </c>
      <c r="AV16" s="86" t="s">
        <v>18</v>
      </c>
    </row>
    <row r="17" spans="2:48" x14ac:dyDescent="0.3">
      <c r="G17" s="1" t="s">
        <v>50</v>
      </c>
      <c r="I17" s="1" t="s">
        <v>50</v>
      </c>
      <c r="S17" s="130"/>
      <c r="T17" s="1" t="s">
        <v>123</v>
      </c>
      <c r="U17" s="1" t="s">
        <v>123</v>
      </c>
      <c r="AC17" s="131" t="s">
        <v>37</v>
      </c>
      <c r="AD17" s="16" t="s">
        <v>39</v>
      </c>
      <c r="AE17" s="16" t="s">
        <v>40</v>
      </c>
      <c r="AF17" s="16" t="s">
        <v>41</v>
      </c>
      <c r="AG17" s="16" t="s">
        <v>42</v>
      </c>
      <c r="AH17" s="16" t="s">
        <v>43</v>
      </c>
      <c r="AL17" t="s">
        <v>37</v>
      </c>
      <c r="AM17" t="s">
        <v>39</v>
      </c>
      <c r="AN17" t="s">
        <v>58</v>
      </c>
      <c r="AO17" t="s">
        <v>59</v>
      </c>
      <c r="AP17" t="s">
        <v>60</v>
      </c>
      <c r="AQ17" t="s">
        <v>61</v>
      </c>
      <c r="AT17" s="81" t="s">
        <v>9</v>
      </c>
      <c r="AU17" s="82">
        <v>0.53571428571428581</v>
      </c>
      <c r="AV17" s="83">
        <v>0.15344358383922962</v>
      </c>
    </row>
    <row r="18" spans="2:48" ht="15" thickBot="1" x14ac:dyDescent="0.35">
      <c r="G18" s="1">
        <f>SUM(G3:G15)</f>
        <v>78</v>
      </c>
      <c r="I18" s="1">
        <f>SUM(I3:I15)</f>
        <v>21</v>
      </c>
      <c r="S18" s="1"/>
      <c r="T18" s="90">
        <f>AVERAGE(T3:T15)</f>
        <v>3.2785074366883955</v>
      </c>
      <c r="U18" s="90">
        <f>AVERAGE(U3:U15)</f>
        <v>2.5178694898203848</v>
      </c>
      <c r="AC18" s="16" t="s">
        <v>8</v>
      </c>
      <c r="AD18" s="16">
        <v>28</v>
      </c>
      <c r="AE18" s="16">
        <v>16</v>
      </c>
      <c r="AF18" s="16">
        <v>9</v>
      </c>
      <c r="AG18" s="16">
        <v>3</v>
      </c>
      <c r="AH18" s="16">
        <v>0</v>
      </c>
      <c r="AL18" t="s">
        <v>8</v>
      </c>
      <c r="AM18">
        <v>28</v>
      </c>
      <c r="AN18">
        <v>16</v>
      </c>
      <c r="AO18">
        <v>9</v>
      </c>
      <c r="AP18">
        <v>3</v>
      </c>
      <c r="AQ18">
        <v>0</v>
      </c>
      <c r="AT18" s="80" t="s">
        <v>10</v>
      </c>
      <c r="AU18" s="78">
        <v>-0.47906976744186047</v>
      </c>
      <c r="AV18" s="79">
        <v>7.2595281306764292E-5</v>
      </c>
    </row>
    <row r="19" spans="2:48" ht="15" thickBot="1" x14ac:dyDescent="0.35">
      <c r="T19" s="14"/>
      <c r="AC19" s="16" t="s">
        <v>9</v>
      </c>
      <c r="AD19" s="16">
        <v>43</v>
      </c>
      <c r="AE19" s="16">
        <v>15</v>
      </c>
      <c r="AF19" s="16">
        <v>13</v>
      </c>
      <c r="AG19" s="16">
        <v>1</v>
      </c>
      <c r="AH19" s="16">
        <v>14</v>
      </c>
      <c r="AL19" t="s">
        <v>9</v>
      </c>
      <c r="AM19">
        <v>43</v>
      </c>
      <c r="AN19">
        <v>15</v>
      </c>
      <c r="AO19">
        <v>13</v>
      </c>
      <c r="AP19">
        <v>1</v>
      </c>
      <c r="AQ19">
        <v>14</v>
      </c>
    </row>
    <row r="20" spans="2:48" s="92" customFormat="1" ht="33" customHeight="1" thickBot="1" x14ac:dyDescent="0.35">
      <c r="B20" s="91" t="s">
        <v>11</v>
      </c>
      <c r="C20" s="91" t="s">
        <v>7</v>
      </c>
      <c r="D20" s="91" t="s">
        <v>28</v>
      </c>
      <c r="E20" s="91" t="s">
        <v>29</v>
      </c>
      <c r="F20" s="93" t="s">
        <v>24</v>
      </c>
      <c r="G20" s="93" t="s">
        <v>25</v>
      </c>
      <c r="H20" s="93" t="s">
        <v>26</v>
      </c>
      <c r="I20" s="93" t="s">
        <v>27</v>
      </c>
      <c r="T20" s="90"/>
      <c r="AC20" s="132" t="s">
        <v>10</v>
      </c>
      <c r="AD20" s="132">
        <v>28</v>
      </c>
      <c r="AE20" s="132">
        <v>13</v>
      </c>
      <c r="AF20" s="132">
        <v>0</v>
      </c>
      <c r="AG20" s="132">
        <v>15</v>
      </c>
      <c r="AH20" s="132">
        <v>0</v>
      </c>
      <c r="AL20" s="92" t="s">
        <v>10</v>
      </c>
      <c r="AM20" s="92">
        <v>28</v>
      </c>
      <c r="AN20" s="92">
        <v>13</v>
      </c>
      <c r="AO20" s="92">
        <v>0</v>
      </c>
      <c r="AP20" s="92">
        <v>15</v>
      </c>
      <c r="AQ20" s="92">
        <v>0</v>
      </c>
    </row>
    <row r="21" spans="2:48" ht="15" thickBot="1" x14ac:dyDescent="0.35">
      <c r="B21" s="2">
        <v>1</v>
      </c>
      <c r="C21" s="8">
        <v>0.35709999999999997</v>
      </c>
      <c r="D21" s="12">
        <v>0.8571428571428571</v>
      </c>
      <c r="E21" s="12">
        <v>0.1428571428571429</v>
      </c>
      <c r="F21" s="5">
        <v>4</v>
      </c>
      <c r="G21" s="5">
        <v>3</v>
      </c>
      <c r="H21" s="5">
        <v>0</v>
      </c>
      <c r="I21" s="5">
        <v>0</v>
      </c>
      <c r="T21" s="14"/>
      <c r="AC21" s="16" t="s">
        <v>38</v>
      </c>
      <c r="AD21" s="16">
        <v>99</v>
      </c>
      <c r="AE21" s="16">
        <v>44</v>
      </c>
      <c r="AF21" s="16">
        <v>22</v>
      </c>
      <c r="AG21" s="16">
        <v>19</v>
      </c>
      <c r="AH21" s="16">
        <v>14</v>
      </c>
      <c r="AM21">
        <v>99</v>
      </c>
      <c r="AN21">
        <v>44</v>
      </c>
      <c r="AO21">
        <v>22</v>
      </c>
      <c r="AP21">
        <v>19</v>
      </c>
      <c r="AQ21">
        <v>14</v>
      </c>
    </row>
    <row r="22" spans="2:48" ht="14.4" customHeight="1" x14ac:dyDescent="0.3">
      <c r="B22" s="2">
        <v>2</v>
      </c>
      <c r="C22" s="8">
        <v>0.35899999999999999</v>
      </c>
      <c r="D22" s="12">
        <v>0.875</v>
      </c>
      <c r="E22" s="12">
        <v>0.125</v>
      </c>
      <c r="F22" s="5">
        <v>5</v>
      </c>
      <c r="G22" s="5">
        <v>3</v>
      </c>
      <c r="H22" s="5">
        <v>0</v>
      </c>
      <c r="I22" s="5">
        <v>0</v>
      </c>
      <c r="T22" s="14"/>
      <c r="V22" s="149" t="s">
        <v>126</v>
      </c>
      <c r="W22" s="149" t="s">
        <v>124</v>
      </c>
    </row>
    <row r="23" spans="2:48" ht="15" thickBot="1" x14ac:dyDescent="0.35">
      <c r="B23" s="2">
        <v>3</v>
      </c>
      <c r="C23" s="8">
        <v>0.36880000000000002</v>
      </c>
      <c r="D23" s="12">
        <v>0.875</v>
      </c>
      <c r="E23" s="12">
        <v>0.125</v>
      </c>
      <c r="F23" s="5">
        <v>5</v>
      </c>
      <c r="G23" s="5">
        <v>3</v>
      </c>
      <c r="H23" s="5">
        <v>0</v>
      </c>
      <c r="I23" s="5">
        <v>0</v>
      </c>
      <c r="T23" s="14"/>
      <c r="V23" s="150"/>
      <c r="W23" s="150"/>
    </row>
    <row r="24" spans="2:48" ht="15" thickBot="1" x14ac:dyDescent="0.35">
      <c r="B24" s="19">
        <v>4</v>
      </c>
      <c r="C24" s="25">
        <v>0.31830000000000003</v>
      </c>
      <c r="D24" s="23">
        <v>1</v>
      </c>
      <c r="E24" s="23">
        <v>0</v>
      </c>
      <c r="F24" s="21">
        <v>2</v>
      </c>
      <c r="G24" s="21">
        <v>0</v>
      </c>
      <c r="H24" s="21">
        <v>3</v>
      </c>
      <c r="I24" s="21">
        <v>0</v>
      </c>
      <c r="T24" s="14"/>
      <c r="V24" s="136">
        <f>P15/P3-1</f>
        <v>0.30246575342465754</v>
      </c>
      <c r="W24" s="135">
        <f>R15/R3-1</f>
        <v>-0.4123809523809524</v>
      </c>
    </row>
    <row r="25" spans="2:48" ht="15.6" thickTop="1" thickBot="1" x14ac:dyDescent="0.35">
      <c r="B25" s="94">
        <v>5</v>
      </c>
      <c r="C25" s="95">
        <v>0.42970000000000003</v>
      </c>
      <c r="D25" s="96">
        <v>0.7</v>
      </c>
      <c r="E25" s="96">
        <v>0.30000000000000004</v>
      </c>
      <c r="F25" s="97">
        <v>6</v>
      </c>
      <c r="G25" s="97">
        <v>0</v>
      </c>
      <c r="H25" s="97">
        <v>1</v>
      </c>
      <c r="I25" s="98">
        <v>3</v>
      </c>
      <c r="T25" s="14"/>
    </row>
    <row r="26" spans="2:48" x14ac:dyDescent="0.3">
      <c r="B26" s="99">
        <v>6</v>
      </c>
      <c r="C26" s="8">
        <v>0.40179999999999999</v>
      </c>
      <c r="D26" s="12">
        <v>0.66666666666666663</v>
      </c>
      <c r="E26" s="12">
        <v>0.33333333333333337</v>
      </c>
      <c r="F26" s="5">
        <v>3</v>
      </c>
      <c r="G26" s="5">
        <v>3</v>
      </c>
      <c r="H26" s="5">
        <v>0</v>
      </c>
      <c r="I26" s="100">
        <v>3</v>
      </c>
      <c r="T26" s="14"/>
      <c r="V26" s="149" t="s">
        <v>125</v>
      </c>
    </row>
    <row r="27" spans="2:48" ht="15" thickBot="1" x14ac:dyDescent="0.35">
      <c r="B27" s="99">
        <v>7</v>
      </c>
      <c r="C27" s="8">
        <v>0.38400000000000001</v>
      </c>
      <c r="D27" s="12">
        <v>0.6428571428571429</v>
      </c>
      <c r="E27" s="12">
        <v>0.3571428571428571</v>
      </c>
      <c r="F27" s="5">
        <v>3</v>
      </c>
      <c r="G27" s="5">
        <v>5</v>
      </c>
      <c r="H27" s="5">
        <v>0</v>
      </c>
      <c r="I27" s="100">
        <v>6</v>
      </c>
      <c r="T27" s="14"/>
      <c r="V27" s="150"/>
    </row>
    <row r="28" spans="2:48" ht="15" thickBot="1" x14ac:dyDescent="0.35">
      <c r="B28" s="101">
        <v>8</v>
      </c>
      <c r="C28" s="102">
        <v>0.45469999999999999</v>
      </c>
      <c r="D28" s="103">
        <v>0.6</v>
      </c>
      <c r="E28" s="103">
        <v>0.4</v>
      </c>
      <c r="F28" s="104">
        <v>3</v>
      </c>
      <c r="G28" s="104">
        <v>5</v>
      </c>
      <c r="H28" s="104">
        <v>0</v>
      </c>
      <c r="I28" s="105">
        <v>2</v>
      </c>
      <c r="T28" s="14"/>
      <c r="V28" s="136">
        <f>N15/N3-1</f>
        <v>0.19173913043478263</v>
      </c>
    </row>
    <row r="29" spans="2:48" ht="15" thickTop="1" x14ac:dyDescent="0.3">
      <c r="B29" s="30">
        <v>9</v>
      </c>
      <c r="C29" s="36">
        <v>0.26700000000000002</v>
      </c>
      <c r="D29" s="34">
        <v>1</v>
      </c>
      <c r="E29" s="34">
        <v>0</v>
      </c>
      <c r="F29" s="32">
        <v>2</v>
      </c>
      <c r="G29" s="32">
        <v>0</v>
      </c>
      <c r="H29" s="32">
        <v>3</v>
      </c>
      <c r="I29" s="32">
        <v>0</v>
      </c>
    </row>
    <row r="30" spans="2:48" x14ac:dyDescent="0.3">
      <c r="B30" s="2">
        <v>10</v>
      </c>
      <c r="C30" s="8">
        <v>0.27779999999999999</v>
      </c>
      <c r="D30" s="12">
        <v>1</v>
      </c>
      <c r="E30" s="12">
        <v>0</v>
      </c>
      <c r="F30" s="5">
        <v>2</v>
      </c>
      <c r="G30" s="5">
        <v>0</v>
      </c>
      <c r="H30" s="5">
        <v>3</v>
      </c>
      <c r="I30" s="5">
        <v>0</v>
      </c>
    </row>
    <row r="31" spans="2:48" x14ac:dyDescent="0.3">
      <c r="B31" s="2">
        <v>11</v>
      </c>
      <c r="C31" s="8">
        <v>0.30730000000000002</v>
      </c>
      <c r="D31" s="12">
        <v>0.83333333333333337</v>
      </c>
      <c r="E31" s="12">
        <v>0.16666666666666663</v>
      </c>
      <c r="F31" s="5">
        <v>2</v>
      </c>
      <c r="G31" s="5">
        <v>0</v>
      </c>
      <c r="H31" s="5">
        <v>4</v>
      </c>
      <c r="I31" s="5">
        <v>0</v>
      </c>
    </row>
    <row r="32" spans="2:48" x14ac:dyDescent="0.3">
      <c r="B32" s="2">
        <v>12</v>
      </c>
      <c r="C32" s="8">
        <v>0.31759999999999999</v>
      </c>
      <c r="D32" s="12">
        <v>0.83333333333333337</v>
      </c>
      <c r="E32" s="12">
        <v>0.16666666666666663</v>
      </c>
      <c r="F32" s="5">
        <v>3</v>
      </c>
      <c r="G32" s="5">
        <v>0</v>
      </c>
      <c r="H32" s="5">
        <v>3</v>
      </c>
      <c r="I32" s="5">
        <v>0</v>
      </c>
    </row>
    <row r="33" spans="2:9" x14ac:dyDescent="0.3">
      <c r="B33" s="2">
        <v>13</v>
      </c>
      <c r="C33" s="8">
        <v>0.31879999999999997</v>
      </c>
      <c r="D33" s="12">
        <v>0.83333333333333337</v>
      </c>
      <c r="E33" s="12">
        <v>0.16666666666666663</v>
      </c>
      <c r="F33" s="5">
        <v>4</v>
      </c>
      <c r="G33" s="5">
        <v>0</v>
      </c>
      <c r="H33" s="5">
        <v>2</v>
      </c>
      <c r="I33" s="5">
        <v>0</v>
      </c>
    </row>
  </sheetData>
  <mergeCells count="4">
    <mergeCell ref="V26:V27"/>
    <mergeCell ref="AT9:AZ9"/>
    <mergeCell ref="V22:V23"/>
    <mergeCell ref="W22:W23"/>
  </mergeCells>
  <conditionalFormatting sqref="M3:M15">
    <cfRule type="colorScale" priority="41">
      <colorScale>
        <cfvo type="min"/>
        <cfvo type="max"/>
        <color rgb="FFFCFCFF"/>
        <color rgb="FF63BE7B"/>
      </colorScale>
    </cfRule>
  </conditionalFormatting>
  <conditionalFormatting sqref="J3:J15">
    <cfRule type="colorScale" priority="42">
      <colorScale>
        <cfvo type="min"/>
        <cfvo type="max"/>
        <color rgb="FFFCFCFF"/>
        <color rgb="FF63BE7B"/>
      </colorScale>
    </cfRule>
  </conditionalFormatting>
  <conditionalFormatting sqref="V3:V15">
    <cfRule type="colorScale" priority="40">
      <colorScale>
        <cfvo type="min"/>
        <cfvo type="max"/>
        <color rgb="FFFCFCFF"/>
        <color rgb="FF63BE7B"/>
      </colorScale>
    </cfRule>
  </conditionalFormatting>
  <conditionalFormatting sqref="W3:W15">
    <cfRule type="colorScale" priority="39">
      <colorScale>
        <cfvo type="min"/>
        <cfvo type="max"/>
        <color rgb="FFFCFCFF"/>
        <color rgb="FF63BE7B"/>
      </colorScale>
    </cfRule>
  </conditionalFormatting>
  <conditionalFormatting sqref="X3:X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Y3:Y15">
    <cfRule type="colorScale" priority="37">
      <colorScale>
        <cfvo type="min"/>
        <cfvo type="max"/>
        <color rgb="FFFCFCFF"/>
        <color rgb="FF63BE7B"/>
      </colorScale>
    </cfRule>
  </conditionalFormatting>
  <conditionalFormatting sqref="O4:O15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F3:F15">
    <cfRule type="colorScale" priority="35">
      <colorScale>
        <cfvo type="min"/>
        <cfvo type="max"/>
        <color rgb="FFFCFCFF"/>
        <color rgb="FF63BE7B"/>
      </colorScale>
    </cfRule>
  </conditionalFormatting>
  <conditionalFormatting sqref="F4:F15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AG4:AG6">
    <cfRule type="colorScale" priority="32">
      <colorScale>
        <cfvo type="min"/>
        <cfvo type="max"/>
        <color rgb="FFFCFCFF"/>
        <color theme="3" tint="0.499984740745262"/>
      </colorScale>
    </cfRule>
  </conditionalFormatting>
  <conditionalFormatting pivot="1" sqref="AI4:AI6">
    <cfRule type="colorScale" priority="28">
      <colorScale>
        <cfvo type="min"/>
        <cfvo type="max"/>
        <color rgb="FFFCFCFF"/>
        <color theme="3" tint="0.499984740745262"/>
      </colorScale>
    </cfRule>
  </conditionalFormatting>
  <conditionalFormatting pivot="1" sqref="AH4:AH6">
    <cfRule type="colorScale" priority="27">
      <colorScale>
        <cfvo type="min"/>
        <cfvo type="max"/>
        <color rgb="FFFCFCFF"/>
        <color theme="3" tint="0.499984740745262"/>
      </colorScale>
    </cfRule>
  </conditionalFormatting>
  <conditionalFormatting pivot="1" sqref="AD4:AD6">
    <cfRule type="colorScale" priority="23">
      <colorScale>
        <cfvo type="min"/>
        <cfvo type="max"/>
        <color rgb="FFFCFCFF"/>
        <color theme="3" tint="0.499984740745262"/>
      </colorScale>
    </cfRule>
  </conditionalFormatting>
  <conditionalFormatting pivot="1" sqref="AE4:AE6">
    <cfRule type="colorScale" priority="22">
      <colorScale>
        <cfvo type="min"/>
        <cfvo type="max"/>
        <color rgb="FFFCFCFF"/>
        <color theme="3" tint="0.499984740745262"/>
      </colorScale>
    </cfRule>
  </conditionalFormatting>
  <conditionalFormatting pivot="1" sqref="AF4:AF6">
    <cfRule type="colorScale" priority="21">
      <colorScale>
        <cfvo type="min"/>
        <cfvo type="max"/>
        <color rgb="FFFCFCFF"/>
        <color theme="3" tint="0.499984740745262"/>
      </colorScale>
    </cfRule>
  </conditionalFormatting>
  <conditionalFormatting pivot="1" sqref="AG10:AG12">
    <cfRule type="colorScale" priority="20">
      <colorScale>
        <cfvo type="min"/>
        <cfvo type="max"/>
        <color rgb="FFFCFCFF"/>
        <color rgb="FF63BE7B"/>
      </colorScale>
    </cfRule>
  </conditionalFormatting>
  <conditionalFormatting pivot="1" sqref="AI10:AI12">
    <cfRule type="colorScale" priority="19">
      <colorScale>
        <cfvo type="min"/>
        <cfvo type="max"/>
        <color rgb="FFFCFCFF"/>
        <color rgb="FF63BE7B"/>
      </colorScale>
    </cfRule>
  </conditionalFormatting>
  <conditionalFormatting pivot="1" sqref="AH10:AH12">
    <cfRule type="colorScale" priority="18">
      <colorScale>
        <cfvo type="min"/>
        <cfvo type="max"/>
        <color rgb="FFFCFCFF"/>
        <color rgb="FF63BE7B"/>
      </colorScale>
    </cfRule>
  </conditionalFormatting>
  <conditionalFormatting pivot="1" sqref="AD10:AD12">
    <cfRule type="colorScale" priority="17">
      <colorScale>
        <cfvo type="min"/>
        <cfvo type="max"/>
        <color rgb="FFFCFCFF"/>
        <color rgb="FF63BE7B"/>
      </colorScale>
    </cfRule>
  </conditionalFormatting>
  <conditionalFormatting pivot="1" sqref="AE10:AE12">
    <cfRule type="colorScale" priority="16">
      <colorScale>
        <cfvo type="min"/>
        <cfvo type="max"/>
        <color rgb="FFFCFCFF"/>
        <color rgb="FF63BE7B"/>
      </colorScale>
    </cfRule>
  </conditionalFormatting>
  <conditionalFormatting pivot="1" sqref="AF10:AF12">
    <cfRule type="colorScale" priority="15">
      <colorScale>
        <cfvo type="min"/>
        <cfvo type="max"/>
        <color rgb="FFFCFCFF"/>
        <color rgb="FF63BE7B"/>
      </colorScale>
    </cfRule>
  </conditionalFormatting>
  <conditionalFormatting sqref="F21:F33">
    <cfRule type="colorScale" priority="11">
      <colorScale>
        <cfvo type="min"/>
        <cfvo type="max"/>
        <color rgb="FFFCFCFF"/>
        <color rgb="FF63BE7B"/>
      </colorScale>
    </cfRule>
  </conditionalFormatting>
  <conditionalFormatting sqref="G21:G33">
    <cfRule type="colorScale" priority="10">
      <colorScale>
        <cfvo type="min"/>
        <cfvo type="max"/>
        <color rgb="FFFCFCFF"/>
        <color rgb="FF63BE7B"/>
      </colorScale>
    </cfRule>
  </conditionalFormatting>
  <conditionalFormatting sqref="H21:H33">
    <cfRule type="colorScale" priority="9">
      <colorScale>
        <cfvo type="min"/>
        <cfvo type="max"/>
        <color rgb="FFFCFCFF"/>
        <color rgb="FF63BE7B"/>
      </colorScale>
    </cfRule>
  </conditionalFormatting>
  <conditionalFormatting sqref="I21:I33">
    <cfRule type="colorScale" priority="8">
      <colorScale>
        <cfvo type="min"/>
        <cfvo type="max"/>
        <color rgb="FFFCFCFF"/>
        <color rgb="FF63BE7B"/>
      </colorScale>
    </cfRule>
  </conditionalFormatting>
  <conditionalFormatting sqref="E21:E33">
    <cfRule type="colorScale" priority="7">
      <colorScale>
        <cfvo type="min"/>
        <cfvo type="max"/>
        <color rgb="FFFCFCFF"/>
        <color rgb="FF63BE7B"/>
      </colorScale>
    </cfRule>
  </conditionalFormatting>
  <conditionalFormatting sqref="C21:C33">
    <cfRule type="colorScale" priority="6">
      <colorScale>
        <cfvo type="min"/>
        <cfvo type="max"/>
        <color rgb="FFFCFCFF"/>
        <color rgb="FF63BE7B"/>
      </colorScale>
    </cfRule>
  </conditionalFormatting>
  <conditionalFormatting sqref="C21:C3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W24">
    <cfRule type="iconSet" priority="2">
      <iconSet iconSet="3Arrows">
        <cfvo type="percent" val="0"/>
        <cfvo type="num" val="0"/>
        <cfvo type="num" val="0"/>
      </iconSet>
    </cfRule>
  </conditionalFormatting>
  <conditionalFormatting sqref="V2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" id="{A026333B-5A18-404A-8E7A-D31275AF8FE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AU11:AZ12</xm:sqref>
        </x14:conditionalFormatting>
        <x14:conditionalFormatting xmlns:xm="http://schemas.microsoft.com/office/excel/2006/main">
          <x14:cfRule type="iconSet" priority="13" id="{581245EB-9B03-43E2-A6B9-16050A1804D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AU17:AU18</xm:sqref>
        </x14:conditionalFormatting>
        <x14:conditionalFormatting xmlns:xm="http://schemas.microsoft.com/office/excel/2006/main">
          <x14:cfRule type="iconSet" priority="12" id="{E8CED538-6234-415F-BD8A-3D3970AA025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</x14:iconSet>
          </x14:cfRule>
          <xm:sqref>AV17:AV18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Analytics</vt:lpstr>
      <vt:lpstr>Definiciones</vt:lpstr>
      <vt:lpstr>Data and 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Delgadillo, Luis Felipe</dc:creator>
  <cp:lastModifiedBy>Delgadillo, Luis Felipe</cp:lastModifiedBy>
  <dcterms:created xsi:type="dcterms:W3CDTF">2025-09-24T23:22:31Z</dcterms:created>
  <dcterms:modified xsi:type="dcterms:W3CDTF">2025-09-29T06:02:58Z</dcterms:modified>
</cp:coreProperties>
</file>