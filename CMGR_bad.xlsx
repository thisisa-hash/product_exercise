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úsqueda de trabajo\NOVIBET\"/>
    </mc:Choice>
  </mc:AlternateContent>
  <xr:revisionPtr revIDLastSave="0" documentId="13_ncr:1_{91980E04-5F25-4FB6-B90E-7D3919A3996D}" xr6:coauthVersionLast="47" xr6:coauthVersionMax="47" xr10:uidLastSave="{00000000-0000-0000-0000-000000000000}"/>
  <bookViews>
    <workbookView xWindow="-108" yWindow="-108" windowWidth="23256" windowHeight="13896" xr2:uid="{A2019FE4-9867-4795-833A-979A1C1E71B2}"/>
  </bookViews>
  <sheets>
    <sheet name="#1" sheetId="1" r:id="rId1"/>
    <sheet name="Graph" sheetId="4" r:id="rId2"/>
    <sheet name="Day" sheetId="2" r:id="rId3"/>
  </sheets>
  <definedNames>
    <definedName name="_xlchart.v1.0" hidden="1">'#1'!$B$14</definedName>
    <definedName name="_xlchart.v1.1" hidden="1">'#1'!$B$15</definedName>
    <definedName name="_xlchart.v1.10" hidden="1">'#1'!$C$18:$N$18</definedName>
    <definedName name="_xlchart.v1.2" hidden="1">'#1'!$B$16</definedName>
    <definedName name="_xlchart.v1.3" hidden="1">'#1'!$B$17</definedName>
    <definedName name="_xlchart.v1.4" hidden="1">'#1'!$B$18</definedName>
    <definedName name="_xlchart.v1.5" hidden="1">'#1'!$C$13:$N$13</definedName>
    <definedName name="_xlchart.v1.6" hidden="1">'#1'!$C$14:$N$14</definedName>
    <definedName name="_xlchart.v1.7" hidden="1">'#1'!$C$15:$N$15</definedName>
    <definedName name="_xlchart.v1.8" hidden="1">'#1'!$C$16:$N$16</definedName>
    <definedName name="_xlchart.v1.9" hidden="1">'#1'!$C$17:$N$17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1" l="1"/>
  <c r="N33" i="1" s="1"/>
  <c r="E30" i="1"/>
  <c r="F30" i="1"/>
  <c r="G30" i="1"/>
  <c r="H30" i="1"/>
  <c r="I30" i="1"/>
  <c r="J30" i="1"/>
  <c r="K30" i="1"/>
  <c r="L30" i="1"/>
  <c r="M30" i="1"/>
  <c r="N30" i="1"/>
  <c r="D30" i="1"/>
  <c r="D27" i="1"/>
  <c r="E27" i="1"/>
  <c r="F27" i="1"/>
  <c r="G27" i="1"/>
  <c r="H27" i="1"/>
  <c r="I27" i="1"/>
  <c r="J27" i="1"/>
  <c r="K27" i="1"/>
  <c r="L27" i="1"/>
  <c r="M27" i="1"/>
  <c r="N27" i="1"/>
  <c r="C27" i="1"/>
  <c r="D28" i="1"/>
  <c r="E28" i="1"/>
  <c r="F28" i="1"/>
  <c r="G28" i="1"/>
  <c r="H28" i="1"/>
  <c r="I28" i="1"/>
  <c r="J28" i="1"/>
  <c r="K28" i="1"/>
  <c r="L28" i="1"/>
  <c r="M28" i="1"/>
  <c r="N28" i="1"/>
  <c r="C28" i="1"/>
  <c r="C26" i="1"/>
  <c r="C14" i="1"/>
  <c r="C9" i="1"/>
  <c r="C16" i="1" s="1"/>
  <c r="C8" i="1"/>
  <c r="D7" i="1" s="1"/>
  <c r="D6" i="2"/>
  <c r="B6" i="2"/>
  <c r="C10" i="1" l="1"/>
  <c r="C17" i="1" s="1"/>
  <c r="D9" i="1"/>
  <c r="D16" i="1" s="1"/>
  <c r="D14" i="1"/>
  <c r="C18" i="1"/>
  <c r="C15" i="1"/>
  <c r="D8" i="1"/>
  <c r="D15" i="1" s="1"/>
  <c r="C6" i="2"/>
  <c r="B7" i="2"/>
  <c r="D7" i="2" l="1"/>
  <c r="C11" i="1"/>
  <c r="E7" i="1"/>
  <c r="E14" i="1" s="1"/>
  <c r="C7" i="2"/>
  <c r="D10" i="1"/>
  <c r="D17" i="1" s="1"/>
  <c r="D18" i="1" s="1"/>
  <c r="D11" i="1" l="1"/>
  <c r="E8" i="1"/>
  <c r="E15" i="1" s="1"/>
  <c r="E9" i="1"/>
  <c r="E16" i="1" s="1"/>
  <c r="B8" i="2"/>
  <c r="D8" i="2" l="1"/>
  <c r="F7" i="1"/>
  <c r="F14" i="1" s="1"/>
  <c r="E10" i="1"/>
  <c r="E17" i="1" s="1"/>
  <c r="E18" i="1" s="1"/>
  <c r="C8" i="2"/>
  <c r="E11" i="1" l="1"/>
  <c r="F8" i="1"/>
  <c r="F15" i="1" s="1"/>
  <c r="F9" i="1"/>
  <c r="F16" i="1" s="1"/>
  <c r="B9" i="2"/>
  <c r="D9" i="2" l="1"/>
  <c r="G7" i="1"/>
  <c r="G14" i="1" s="1"/>
  <c r="C9" i="2"/>
  <c r="F10" i="1"/>
  <c r="F17" i="1" s="1"/>
  <c r="F18" i="1" s="1"/>
  <c r="F11" i="1" l="1"/>
  <c r="B10" i="2"/>
  <c r="G9" i="1"/>
  <c r="G16" i="1" s="1"/>
  <c r="G8" i="1"/>
  <c r="G15" i="1" s="1"/>
  <c r="H7" i="1" l="1"/>
  <c r="H14" i="1" s="1"/>
  <c r="C10" i="2"/>
  <c r="G10" i="1"/>
  <c r="G17" i="1" s="1"/>
  <c r="G18" i="1" s="1"/>
  <c r="D10" i="2"/>
  <c r="G11" i="1"/>
  <c r="B11" i="2" l="1"/>
  <c r="H9" i="1"/>
  <c r="H16" i="1" s="1"/>
  <c r="H8" i="1"/>
  <c r="H15" i="1" s="1"/>
  <c r="I7" i="1" l="1"/>
  <c r="I14" i="1" s="1"/>
  <c r="C11" i="2"/>
  <c r="H10" i="1"/>
  <c r="H17" i="1" s="1"/>
  <c r="H18" i="1" s="1"/>
  <c r="H11" i="1"/>
  <c r="D11" i="2"/>
  <c r="I9" i="1" l="1"/>
  <c r="I16" i="1" s="1"/>
  <c r="B12" i="2"/>
  <c r="I8" i="1"/>
  <c r="I15" i="1" s="1"/>
  <c r="J7" i="1" l="1"/>
  <c r="J14" i="1" s="1"/>
  <c r="C12" i="2"/>
  <c r="I10" i="1"/>
  <c r="I17" i="1" s="1"/>
  <c r="I18" i="1" s="1"/>
  <c r="D12" i="2"/>
  <c r="I11" i="1" l="1"/>
  <c r="J9" i="1"/>
  <c r="J16" i="1" s="1"/>
  <c r="B13" i="2"/>
  <c r="J8" i="1"/>
  <c r="J15" i="1" s="1"/>
  <c r="K7" i="1" l="1"/>
  <c r="K14" i="1" s="1"/>
  <c r="C13" i="2"/>
  <c r="J10" i="1"/>
  <c r="J17" i="1" s="1"/>
  <c r="J18" i="1" s="1"/>
  <c r="D13" i="2"/>
  <c r="J11" i="1" l="1"/>
  <c r="B14" i="2"/>
  <c r="K9" i="1"/>
  <c r="K16" i="1" s="1"/>
  <c r="K8" i="1"/>
  <c r="K15" i="1" s="1"/>
  <c r="L7" i="1" l="1"/>
  <c r="L14" i="1" s="1"/>
  <c r="K10" i="1"/>
  <c r="K17" i="1" s="1"/>
  <c r="K18" i="1" s="1"/>
  <c r="C14" i="2"/>
  <c r="D14" i="2"/>
  <c r="K11" i="1" l="1"/>
  <c r="L9" i="1"/>
  <c r="L16" i="1" s="1"/>
  <c r="B15" i="2"/>
  <c r="L8" i="1"/>
  <c r="L15" i="1" s="1"/>
  <c r="M7" i="1" l="1"/>
  <c r="M14" i="1" s="1"/>
  <c r="C15" i="2"/>
  <c r="L10" i="1"/>
  <c r="L17" i="1" s="1"/>
  <c r="L18" i="1" s="1"/>
  <c r="L11" i="1"/>
  <c r="D15" i="2"/>
  <c r="M9" i="1" l="1"/>
  <c r="M16" i="1" s="1"/>
  <c r="B16" i="2"/>
  <c r="M8" i="1"/>
  <c r="M15" i="1" s="1"/>
  <c r="N7" i="1" l="1"/>
  <c r="N14" i="1" s="1"/>
  <c r="O14" i="1" s="1"/>
  <c r="C16" i="2"/>
  <c r="M10" i="1"/>
  <c r="M17" i="1" s="1"/>
  <c r="M18" i="1" s="1"/>
  <c r="M11" i="1"/>
  <c r="D16" i="2"/>
  <c r="N8" i="1" l="1"/>
  <c r="N15" i="1" s="1"/>
  <c r="B17" i="2"/>
  <c r="N9" i="1"/>
  <c r="N16" i="1" s="1"/>
  <c r="O16" i="1" s="1"/>
  <c r="D17" i="2" l="1"/>
  <c r="N10" i="1"/>
  <c r="N17" i="1" s="1"/>
  <c r="C17" i="2"/>
  <c r="N18" i="1" l="1"/>
  <c r="O17" i="1"/>
  <c r="N11" i="1"/>
</calcChain>
</file>

<file path=xl/sharedStrings.xml><?xml version="1.0" encoding="utf-8"?>
<sst xmlns="http://schemas.openxmlformats.org/spreadsheetml/2006/main" count="76" uniqueCount="41">
  <si>
    <t>Jan</t>
  </si>
  <si>
    <t>Feb</t>
  </si>
  <si>
    <t>Mar</t>
  </si>
  <si>
    <t>Apr</t>
  </si>
  <si>
    <t>May</t>
  </si>
  <si>
    <t>Jun</t>
  </si>
  <si>
    <t>Jul</t>
  </si>
  <si>
    <t>Ago</t>
  </si>
  <si>
    <t>Sep</t>
  </si>
  <si>
    <t>Oct</t>
  </si>
  <si>
    <t>Nov</t>
  </si>
  <si>
    <t>New</t>
  </si>
  <si>
    <t xml:space="preserve">Mar </t>
  </si>
  <si>
    <t>Aug</t>
  </si>
  <si>
    <t>Dec</t>
  </si>
  <si>
    <t>Recurrent</t>
  </si>
  <si>
    <t>Conversion</t>
  </si>
  <si>
    <t>Per Day</t>
  </si>
  <si>
    <t>Monthly growth</t>
  </si>
  <si>
    <t>Conversion new</t>
  </si>
  <si>
    <t>Per game</t>
  </si>
  <si>
    <t>Concept</t>
  </si>
  <si>
    <t>Metric</t>
  </si>
  <si>
    <t>Average ticket</t>
  </si>
  <si>
    <t>Total games</t>
  </si>
  <si>
    <t>Click events</t>
  </si>
  <si>
    <t>CTR</t>
  </si>
  <si>
    <t>Page views</t>
  </si>
  <si>
    <t>New registrations</t>
  </si>
  <si>
    <t>New registration</t>
  </si>
  <si>
    <t>Deposits</t>
  </si>
  <si>
    <t>Deposit recurrent</t>
  </si>
  <si>
    <t>Deposit new</t>
  </si>
  <si>
    <t>Total deposit</t>
  </si>
  <si>
    <t>Page Views</t>
  </si>
  <si>
    <t xml:space="preserve">Button Click Play - Play Here </t>
  </si>
  <si>
    <t>Click PAY</t>
  </si>
  <si>
    <t>Demo Views</t>
  </si>
  <si>
    <t>Crecimiento por año</t>
  </si>
  <si>
    <t>New players - Time session (minutes)</t>
  </si>
  <si>
    <t>Frecuent players - Time session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</si>
</sst>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-&quot;$&quot;* #,##0_-;\-&quot;$&quot;* #,##0_-;_-&quot;$&quot;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43" fontId="0" fillId="0" borderId="0" xfId="0" applyNumberFormat="1"/>
    <xf numFmtId="1" fontId="0" fillId="0" borderId="0" xfId="0" applyNumberFormat="1" applyAlignment="1">
      <alignment horizontal="center"/>
    </xf>
    <xf numFmtId="165" fontId="0" fillId="0" borderId="0" xfId="2" applyNumberFormat="1" applyFont="1" applyAlignment="1">
      <alignment horizontal="center"/>
    </xf>
    <xf numFmtId="9" fontId="0" fillId="0" borderId="0" xfId="3" applyFont="1"/>
    <xf numFmtId="0" fontId="0" fillId="2" borderId="0" xfId="0" applyFill="1"/>
    <xf numFmtId="0" fontId="0" fillId="0" borderId="1" xfId="0" applyBorder="1"/>
    <xf numFmtId="164" fontId="0" fillId="0" borderId="1" xfId="1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Border="1"/>
    <xf numFmtId="0" fontId="2" fillId="0" borderId="1" xfId="0" applyFont="1" applyBorder="1"/>
    <xf numFmtId="164" fontId="0" fillId="0" borderId="1" xfId="0" applyNumberFormat="1" applyBorder="1" applyAlignment="1">
      <alignment horizontal="left" indent="3"/>
    </xf>
    <xf numFmtId="0" fontId="2" fillId="0" borderId="1" xfId="0" applyFont="1" applyBorder="1" applyAlignment="1">
      <alignment horizontal="right"/>
    </xf>
    <xf numFmtId="9" fontId="0" fillId="0" borderId="0" xfId="0" applyNumberFormat="1"/>
    <xf numFmtId="9" fontId="3" fillId="0" borderId="0" xfId="0" applyNumberFormat="1" applyFont="1"/>
    <xf numFmtId="9" fontId="0" fillId="0" borderId="1" xfId="0" applyNumberFormat="1" applyBorder="1"/>
    <xf numFmtId="164" fontId="0" fillId="0" borderId="1" xfId="1" applyNumberFormat="1" applyFont="1" applyBorder="1" applyAlignment="1">
      <alignment horizontal="right"/>
    </xf>
    <xf numFmtId="9" fontId="0" fillId="0" borderId="1" xfId="3" applyFont="1" applyBorder="1" applyAlignment="1">
      <alignment horizontal="right" vertical="center"/>
    </xf>
    <xf numFmtId="164" fontId="0" fillId="0" borderId="0" xfId="3" applyNumberFormat="1" applyFont="1"/>
    <xf numFmtId="44" fontId="0" fillId="0" borderId="1" xfId="2" applyFont="1" applyBorder="1" applyAlignment="1">
      <alignment horizontal="left" indent="3"/>
    </xf>
    <xf numFmtId="9" fontId="0" fillId="0" borderId="2" xfId="3" applyFont="1" applyFill="1" applyBorder="1" applyAlignment="1">
      <alignment horizontal="left" indent="3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cat>
            <c:strRef>
              <c:f>'#1'!$C$13:$N$13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'#1'!$C$20:$N$20</c:f>
              <c:numCache>
                <c:formatCode>_-* #,##0_-;\-* #,##0_-;_-* "-"??_-;_-@_-</c:formatCode>
                <c:ptCount val="12"/>
                <c:pt idx="0">
                  <c:v>47</c:v>
                </c:pt>
                <c:pt idx="1">
                  <c:v>48</c:v>
                </c:pt>
                <c:pt idx="2">
                  <c:v>49</c:v>
                </c:pt>
                <c:pt idx="3">
                  <c:v>48</c:v>
                </c:pt>
                <c:pt idx="4">
                  <c:v>47</c:v>
                </c:pt>
                <c:pt idx="5">
                  <c:v>48</c:v>
                </c:pt>
                <c:pt idx="6">
                  <c:v>49</c:v>
                </c:pt>
                <c:pt idx="7">
                  <c:v>47</c:v>
                </c:pt>
                <c:pt idx="8">
                  <c:v>46</c:v>
                </c:pt>
                <c:pt idx="9">
                  <c:v>47</c:v>
                </c:pt>
                <c:pt idx="10">
                  <c:v>48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BA-4865-8BD0-F528841CD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5141888"/>
        <c:axId val="1165143328"/>
      </c:areaChart>
      <c:catAx>
        <c:axId val="1165141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5143328"/>
        <c:crosses val="autoZero"/>
        <c:auto val="1"/>
        <c:lblAlgn val="ctr"/>
        <c:lblOffset val="100"/>
        <c:noMultiLvlLbl val="0"/>
      </c:catAx>
      <c:valAx>
        <c:axId val="11651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165141888"/>
        <c:crosses val="autoZero"/>
        <c:crossBetween val="midCat"/>
      </c:valAx>
      <c:spPr>
        <a:solidFill>
          <a:srgbClr val="CCFFCC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_xlchart.v1.6</cx:f>
      </cx:numDim>
    </cx:data>
    <cx:data id="1">
      <cx:strDim type="cat">
        <cx:f dir="row">_xlchart.v1.5</cx:f>
      </cx:strDim>
      <cx:numDim type="val">
        <cx:f dir="row">_xlchart.v1.7</cx:f>
      </cx:numDim>
    </cx:data>
    <cx:data id="2">
      <cx:strDim type="cat">
        <cx:f dir="row">_xlchart.v1.5</cx:f>
      </cx:strDim>
      <cx:numDim type="val">
        <cx:f dir="row">_xlchart.v1.8</cx:f>
      </cx:numDim>
    </cx:data>
    <cx:data id="3">
      <cx:strDim type="cat">
        <cx:f dir="row">_xlchart.v1.5</cx:f>
      </cx:strDim>
      <cx:numDim type="val">
        <cx:f dir="row">_xlchart.v1.9</cx:f>
      </cx:numDim>
    </cx:data>
    <cx:data id="4">
      <cx:strDim type="cat">
        <cx:f dir="row">_xlchart.v1.5</cx:f>
      </cx:strDim>
      <cx:numDim type="val">
        <cx:f dir="row">_xlchart.v1.10</cx:f>
      </cx:numDim>
    </cx:data>
  </cx:chartData>
  <cx:chart>
    <cx:plotArea>
      <cx:plotAreaRegion>
        <cx:series layoutId="clusteredColumn" uniqueId="{F8D6734E-324D-466F-ABB2-B6B507361E19}" formatIdx="0">
          <cx:tx>
            <cx:txData>
              <cx:f>_xlchart.v1.0</cx:f>
              <cx:v>Page views</cx:v>
            </cx:txData>
          </cx:tx>
          <cx:dataId val="0"/>
          <cx:layoutPr>
            <cx:aggregation/>
          </cx:layoutPr>
          <cx:axisId val="1"/>
        </cx:series>
        <cx:series layoutId="paretoLine" ownerIdx="0" uniqueId="{4F9C9938-8493-42D8-845C-320F3990E549}" formatIdx="1">
          <cx:spPr>
            <a:solidFill>
              <a:srgbClr val="FFFF00"/>
            </a:solidFill>
          </cx:spPr>
          <cx:axisId val="2"/>
        </cx:series>
        <cx:series layoutId="clusteredColumn" hidden="1" uniqueId="{CAD497D3-107A-41A5-9C15-86BAF419FA4C}" formatIdx="2">
          <cx:tx>
            <cx:txData>
              <cx:f>_xlchart.v1.1</cx:f>
              <cx:v>New registration</cx:v>
            </cx:txData>
          </cx:tx>
          <cx:dataId val="1"/>
          <cx:layoutPr>
            <cx:aggregation/>
          </cx:layoutPr>
          <cx:axisId val="1"/>
        </cx:series>
        <cx:series layoutId="paretoLine" ownerIdx="2" uniqueId="{9DF26C79-70DA-4656-8904-EB3FA6DE0290}" formatIdx="3">
          <cx:axisId val="2"/>
        </cx:series>
        <cx:series layoutId="clusteredColumn" hidden="1" uniqueId="{2B8055AB-82AB-4A6D-A902-D227483A31DD}" formatIdx="4">
          <cx:tx>
            <cx:txData>
              <cx:f>_xlchart.v1.2</cx:f>
              <cx:v>Deposit recurrent</cx:v>
            </cx:txData>
          </cx:tx>
          <cx:dataId val="2"/>
          <cx:layoutPr>
            <cx:aggregation/>
          </cx:layoutPr>
          <cx:axisId val="1"/>
        </cx:series>
        <cx:series layoutId="paretoLine" ownerIdx="4" uniqueId="{57FAEF36-6567-4DEB-8067-82B2382DAAE9}" formatIdx="5">
          <cx:axisId val="2"/>
        </cx:series>
        <cx:series layoutId="clusteredColumn" hidden="1" uniqueId="{3B5596E7-9979-4904-8C61-B6174456D3DA}" formatIdx="6">
          <cx:tx>
            <cx:txData>
              <cx:f>_xlchart.v1.3</cx:f>
              <cx:v>Deposit new</cx:v>
            </cx:txData>
          </cx:tx>
          <cx:dataId val="3"/>
          <cx:layoutPr>
            <cx:aggregation/>
          </cx:layoutPr>
          <cx:axisId val="1"/>
        </cx:series>
        <cx:series layoutId="paretoLine" ownerIdx="6" uniqueId="{0A00309D-8AAD-4475-8BC8-66B267607100}" formatIdx="7">
          <cx:axisId val="2"/>
        </cx:series>
        <cx:series layoutId="clusteredColumn" hidden="1" uniqueId="{AF3BB35E-7376-4E0B-B2DE-4A771D8E3B28}" formatIdx="8">
          <cx:tx>
            <cx:txData>
              <cx:f>_xlchart.v1.4</cx:f>
              <cx:v>Total deposit</cx:v>
            </cx:txData>
          </cx:tx>
          <cx:dataId val="4"/>
          <cx:layoutPr>
            <cx:aggregation/>
          </cx:layoutPr>
          <cx:axisId val="1"/>
        </cx:series>
        <cx:series layoutId="paretoLine" ownerIdx="8" uniqueId="{82F69635-7C34-4C66-9F5C-05E72FF5A7CF}" formatIdx="9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106680</xdr:colOff>
      <xdr:row>2</xdr:row>
      <xdr:rowOff>152400</xdr:rowOff>
    </xdr:from>
    <xdr:to>
      <xdr:col>10</xdr:col>
      <xdr:colOff>411480</xdr:colOff>
      <xdr:row>17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9573F5E-89A2-4436-94AC-C77088C279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35480" y="5181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137160</xdr:colOff>
      <xdr:row>18</xdr:row>
      <xdr:rowOff>129540</xdr:rowOff>
    </xdr:from>
    <xdr:to>
      <xdr:col>10</xdr:col>
      <xdr:colOff>441960</xdr:colOff>
      <xdr:row>33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09FA02-809E-414E-8F83-7B4814FE9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3DAAF-8FA0-48E1-A984-817C095D4D73}">
  <dimension ref="A2:P33"/>
  <sheetViews>
    <sheetView tabSelected="1" topLeftCell="C1" workbookViewId="0">
      <selection activeCell="P2" sqref="P2:P27"/>
    </sheetView>
  </sheetViews>
  <sheetFormatPr defaultRowHeight="14.4" x14ac:dyDescent="0.3"/>
  <cols>
    <col min="2" max="2" width="23.88671875" bestFit="1" customWidth="1"/>
    <col min="3" max="3" width="14.6640625" bestFit="1" customWidth="1"/>
    <col min="4" max="14" width="14.5546875" bestFit="1" customWidth="1"/>
    <col min="15" max="16" width="15.109375" bestFit="1" customWidth="1"/>
  </cols>
  <sheetData>
    <row r="2" spans="1:16" x14ac:dyDescent="0.3">
      <c r="B2" t="s">
        <v>24</v>
      </c>
      <c r="C2">
        <v>4000</v>
      </c>
      <c r="E2" s="15"/>
    </row>
    <row r="3" spans="1:16" x14ac:dyDescent="0.3">
      <c r="B3" t="s">
        <v>23</v>
      </c>
      <c r="C3">
        <v>500</v>
      </c>
      <c r="E3" s="15"/>
    </row>
    <row r="4" spans="1:16" x14ac:dyDescent="0.3">
      <c r="B4" t="s">
        <v>18</v>
      </c>
      <c r="C4" s="5">
        <v>0.02</v>
      </c>
    </row>
    <row r="6" spans="1:16" x14ac:dyDescent="0.3">
      <c r="B6" s="11" t="s">
        <v>22</v>
      </c>
      <c r="C6" s="13" t="s">
        <v>0</v>
      </c>
      <c r="D6" s="13" t="s">
        <v>1</v>
      </c>
      <c r="E6" s="13" t="s">
        <v>2</v>
      </c>
      <c r="F6" s="13" t="s">
        <v>3</v>
      </c>
      <c r="G6" s="13" t="s">
        <v>4</v>
      </c>
      <c r="H6" s="13" t="s">
        <v>5</v>
      </c>
      <c r="I6" s="13" t="s">
        <v>6</v>
      </c>
      <c r="J6" s="13" t="s">
        <v>7</v>
      </c>
      <c r="K6" s="13" t="s">
        <v>8</v>
      </c>
      <c r="L6" s="13" t="s">
        <v>9</v>
      </c>
      <c r="M6" s="13" t="s">
        <v>10</v>
      </c>
      <c r="N6" s="13" t="s">
        <v>14</v>
      </c>
    </row>
    <row r="7" spans="1:16" x14ac:dyDescent="0.3">
      <c r="B7" s="7" t="s">
        <v>27</v>
      </c>
      <c r="C7" s="8">
        <v>150000</v>
      </c>
      <c r="D7" s="8">
        <f>C7+C8</f>
        <v>153000</v>
      </c>
      <c r="E7" s="8">
        <f t="shared" ref="E7:N7" si="0">D7+D8</f>
        <v>156060</v>
      </c>
      <c r="F7" s="8">
        <f t="shared" si="0"/>
        <v>159181.20000000001</v>
      </c>
      <c r="G7" s="8">
        <f t="shared" si="0"/>
        <v>162364.82400000002</v>
      </c>
      <c r="H7" s="8">
        <f t="shared" si="0"/>
        <v>165612.12048000001</v>
      </c>
      <c r="I7" s="8">
        <f t="shared" si="0"/>
        <v>168924.36288960002</v>
      </c>
      <c r="J7" s="8">
        <f t="shared" si="0"/>
        <v>172302.85014739202</v>
      </c>
      <c r="K7" s="8">
        <f t="shared" si="0"/>
        <v>175748.90715033986</v>
      </c>
      <c r="L7" s="8">
        <f t="shared" si="0"/>
        <v>179263.88529334666</v>
      </c>
      <c r="M7" s="8">
        <f t="shared" si="0"/>
        <v>182849.16299921359</v>
      </c>
      <c r="N7" s="8">
        <f t="shared" si="0"/>
        <v>186506.14625919785</v>
      </c>
    </row>
    <row r="8" spans="1:16" x14ac:dyDescent="0.3">
      <c r="B8" s="7" t="s">
        <v>28</v>
      </c>
      <c r="C8" s="8">
        <f>C7*$C$4</f>
        <v>3000</v>
      </c>
      <c r="D8" s="8">
        <f>D7*$C$4</f>
        <v>3060</v>
      </c>
      <c r="E8" s="8">
        <f t="shared" ref="E8:N8" si="1">E7*$C$4</f>
        <v>3121.2000000000003</v>
      </c>
      <c r="F8" s="8">
        <f t="shared" si="1"/>
        <v>3183.6240000000003</v>
      </c>
      <c r="G8" s="8">
        <f t="shared" si="1"/>
        <v>3247.2964800000004</v>
      </c>
      <c r="H8" s="8">
        <f t="shared" si="1"/>
        <v>3312.2424096000004</v>
      </c>
      <c r="I8" s="8">
        <f t="shared" si="1"/>
        <v>3378.4872577920005</v>
      </c>
      <c r="J8" s="8">
        <f t="shared" si="1"/>
        <v>3446.0570029478404</v>
      </c>
      <c r="K8" s="8">
        <f t="shared" si="1"/>
        <v>3514.9781430067974</v>
      </c>
      <c r="L8" s="8">
        <f t="shared" si="1"/>
        <v>3585.277705866933</v>
      </c>
      <c r="M8" s="8">
        <f t="shared" si="1"/>
        <v>3656.9832599842716</v>
      </c>
      <c r="N8" s="8">
        <f t="shared" si="1"/>
        <v>3730.1229251839572</v>
      </c>
    </row>
    <row r="9" spans="1:16" x14ac:dyDescent="0.3">
      <c r="B9" s="7"/>
      <c r="C9" s="9">
        <f>C7*$C$3</f>
        <v>75000000</v>
      </c>
      <c r="D9" s="9">
        <f t="shared" ref="D9:N9" si="2">D7*$C$3</f>
        <v>76500000</v>
      </c>
      <c r="E9" s="9">
        <f t="shared" si="2"/>
        <v>78030000</v>
      </c>
      <c r="F9" s="9">
        <f t="shared" si="2"/>
        <v>79590600</v>
      </c>
      <c r="G9" s="9">
        <f t="shared" si="2"/>
        <v>81182412.000000015</v>
      </c>
      <c r="H9" s="9">
        <f t="shared" si="2"/>
        <v>82806060.24000001</v>
      </c>
      <c r="I9" s="9">
        <f t="shared" si="2"/>
        <v>84462181.444800004</v>
      </c>
      <c r="J9" s="9">
        <f t="shared" si="2"/>
        <v>86151425.073696002</v>
      </c>
      <c r="K9" s="9">
        <f t="shared" si="2"/>
        <v>87874453.575169936</v>
      </c>
      <c r="L9" s="9">
        <f t="shared" si="2"/>
        <v>89631942.646673322</v>
      </c>
      <c r="M9" s="9">
        <f t="shared" si="2"/>
        <v>91424581.499606788</v>
      </c>
      <c r="N9" s="9">
        <f t="shared" si="2"/>
        <v>93253073.12959893</v>
      </c>
      <c r="O9" s="1"/>
      <c r="P9" s="2"/>
    </row>
    <row r="10" spans="1:16" x14ac:dyDescent="0.3">
      <c r="B10" s="7" t="s">
        <v>19</v>
      </c>
      <c r="C10" s="10">
        <f>C8*$C$3</f>
        <v>1500000</v>
      </c>
      <c r="D10" s="10">
        <f t="shared" ref="D10:N10" si="3">D8*$C$3</f>
        <v>1530000</v>
      </c>
      <c r="E10" s="10">
        <f t="shared" si="3"/>
        <v>1560600.0000000002</v>
      </c>
      <c r="F10" s="10">
        <f t="shared" si="3"/>
        <v>1591812.0000000002</v>
      </c>
      <c r="G10" s="10">
        <f t="shared" si="3"/>
        <v>1623648.2400000002</v>
      </c>
      <c r="H10" s="10">
        <f t="shared" si="3"/>
        <v>1656121.2048000002</v>
      </c>
      <c r="I10" s="10">
        <f t="shared" si="3"/>
        <v>1689243.6288960003</v>
      </c>
      <c r="J10" s="10">
        <f t="shared" si="3"/>
        <v>1723028.5014739202</v>
      </c>
      <c r="K10" s="10">
        <f t="shared" si="3"/>
        <v>1757489.0715033987</v>
      </c>
      <c r="L10" s="10">
        <f t="shared" si="3"/>
        <v>1792638.8529334664</v>
      </c>
      <c r="M10" s="10">
        <f t="shared" si="3"/>
        <v>1828491.6299921358</v>
      </c>
      <c r="N10" s="10">
        <f t="shared" si="3"/>
        <v>1865061.4625919787</v>
      </c>
      <c r="O10" s="2"/>
    </row>
    <row r="11" spans="1:16" x14ac:dyDescent="0.3">
      <c r="B11" s="11" t="s">
        <v>30</v>
      </c>
      <c r="C11" s="10">
        <f>C9+C10</f>
        <v>76500000</v>
      </c>
      <c r="D11" s="10">
        <f t="shared" ref="D11:N11" si="4">D9+D10</f>
        <v>78030000</v>
      </c>
      <c r="E11" s="10">
        <f t="shared" si="4"/>
        <v>79590600</v>
      </c>
      <c r="F11" s="10">
        <f t="shared" si="4"/>
        <v>81182412</v>
      </c>
      <c r="G11" s="10">
        <f t="shared" si="4"/>
        <v>82806060.24000001</v>
      </c>
      <c r="H11" s="10">
        <f t="shared" si="4"/>
        <v>84462181.444800004</v>
      </c>
      <c r="I11" s="10">
        <f t="shared" si="4"/>
        <v>86151425.073696002</v>
      </c>
      <c r="J11" s="10">
        <f t="shared" si="4"/>
        <v>87874453.575169921</v>
      </c>
      <c r="K11" s="10">
        <f t="shared" si="4"/>
        <v>89631942.646673337</v>
      </c>
      <c r="L11" s="10">
        <f t="shared" si="4"/>
        <v>91424581.499606788</v>
      </c>
      <c r="M11" s="10">
        <f t="shared" si="4"/>
        <v>93253073.12959893</v>
      </c>
      <c r="N11" s="10">
        <f t="shared" si="4"/>
        <v>95118134.592190906</v>
      </c>
    </row>
    <row r="13" spans="1:16" x14ac:dyDescent="0.3">
      <c r="A13" t="s">
        <v>20</v>
      </c>
      <c r="B13" s="11" t="s">
        <v>21</v>
      </c>
      <c r="C13" s="13" t="s">
        <v>0</v>
      </c>
      <c r="D13" s="13" t="s">
        <v>1</v>
      </c>
      <c r="E13" s="13" t="s">
        <v>2</v>
      </c>
      <c r="F13" s="13" t="s">
        <v>3</v>
      </c>
      <c r="G13" s="13" t="s">
        <v>4</v>
      </c>
      <c r="H13" s="13" t="s">
        <v>5</v>
      </c>
      <c r="I13" s="13" t="s">
        <v>6</v>
      </c>
      <c r="J13" s="13" t="s">
        <v>7</v>
      </c>
      <c r="K13" s="13" t="s">
        <v>8</v>
      </c>
      <c r="L13" s="13" t="s">
        <v>9</v>
      </c>
      <c r="M13" s="13" t="s">
        <v>10</v>
      </c>
      <c r="N13" s="13" t="s">
        <v>14</v>
      </c>
    </row>
    <row r="14" spans="1:16" x14ac:dyDescent="0.3">
      <c r="B14" s="7" t="s">
        <v>27</v>
      </c>
      <c r="C14" s="12">
        <f t="shared" ref="C14:N14" si="5">C7/$C$2</f>
        <v>37.5</v>
      </c>
      <c r="D14" s="12">
        <f t="shared" si="5"/>
        <v>38.25</v>
      </c>
      <c r="E14" s="12">
        <f t="shared" si="5"/>
        <v>39.015000000000001</v>
      </c>
      <c r="F14" s="12">
        <f t="shared" si="5"/>
        <v>39.795300000000005</v>
      </c>
      <c r="G14" s="12">
        <f t="shared" si="5"/>
        <v>40.591206000000007</v>
      </c>
      <c r="H14" s="12">
        <f t="shared" si="5"/>
        <v>41.403030120000004</v>
      </c>
      <c r="I14" s="12">
        <f t="shared" si="5"/>
        <v>42.231090722400005</v>
      </c>
      <c r="J14" s="12">
        <f t="shared" si="5"/>
        <v>43.075712536848002</v>
      </c>
      <c r="K14" s="12">
        <f t="shared" si="5"/>
        <v>43.937226787584962</v>
      </c>
      <c r="L14" s="12">
        <f t="shared" si="5"/>
        <v>44.815971323336662</v>
      </c>
      <c r="M14" s="12">
        <f t="shared" si="5"/>
        <v>45.712290749803394</v>
      </c>
      <c r="N14" s="12">
        <f t="shared" si="5"/>
        <v>46.626536564799466</v>
      </c>
      <c r="O14" s="21">
        <f>N14/C14</f>
        <v>1.2433743083946525</v>
      </c>
    </row>
    <row r="15" spans="1:16" x14ac:dyDescent="0.3">
      <c r="B15" s="7" t="s">
        <v>29</v>
      </c>
      <c r="C15" s="8">
        <f t="shared" ref="C15:N15" si="6">C8/$C$2</f>
        <v>0.75</v>
      </c>
      <c r="D15" s="8">
        <f t="shared" si="6"/>
        <v>0.76500000000000001</v>
      </c>
      <c r="E15" s="8">
        <f t="shared" si="6"/>
        <v>0.7803000000000001</v>
      </c>
      <c r="F15" s="8">
        <f t="shared" si="6"/>
        <v>0.79590600000000011</v>
      </c>
      <c r="G15" s="8">
        <f t="shared" si="6"/>
        <v>0.81182412000000015</v>
      </c>
      <c r="H15" s="8">
        <f t="shared" si="6"/>
        <v>0.82806060240000012</v>
      </c>
      <c r="I15" s="8">
        <f t="shared" si="6"/>
        <v>0.84462181444800011</v>
      </c>
      <c r="J15" s="8">
        <f t="shared" si="6"/>
        <v>0.86151425073696009</v>
      </c>
      <c r="K15" s="8">
        <f t="shared" si="6"/>
        <v>0.87874453575169931</v>
      </c>
      <c r="L15" s="8">
        <f t="shared" si="6"/>
        <v>0.89631942646673324</v>
      </c>
      <c r="M15" s="8">
        <f t="shared" si="6"/>
        <v>0.91424581499606794</v>
      </c>
      <c r="N15" s="8">
        <f t="shared" si="6"/>
        <v>0.93253073129598929</v>
      </c>
    </row>
    <row r="16" spans="1:16" x14ac:dyDescent="0.3">
      <c r="B16" s="7" t="s">
        <v>31</v>
      </c>
      <c r="C16" s="20">
        <f t="shared" ref="C16:N16" si="7">C9/$C$2</f>
        <v>18750</v>
      </c>
      <c r="D16" s="20">
        <f t="shared" si="7"/>
        <v>19125</v>
      </c>
      <c r="E16" s="20">
        <f t="shared" si="7"/>
        <v>19507.5</v>
      </c>
      <c r="F16" s="20">
        <f t="shared" si="7"/>
        <v>19897.650000000001</v>
      </c>
      <c r="G16" s="20">
        <f t="shared" si="7"/>
        <v>20295.603000000003</v>
      </c>
      <c r="H16" s="20">
        <f t="shared" si="7"/>
        <v>20701.515060000002</v>
      </c>
      <c r="I16" s="20">
        <f t="shared" si="7"/>
        <v>21115.545361200002</v>
      </c>
      <c r="J16" s="20">
        <f t="shared" si="7"/>
        <v>21537.856268424002</v>
      </c>
      <c r="K16" s="20">
        <f t="shared" si="7"/>
        <v>21968.613393792482</v>
      </c>
      <c r="L16" s="20">
        <f t="shared" si="7"/>
        <v>22407.985661668332</v>
      </c>
      <c r="M16" s="20">
        <f t="shared" si="7"/>
        <v>22856.145374901698</v>
      </c>
      <c r="N16" s="20">
        <f t="shared" si="7"/>
        <v>23313.268282399731</v>
      </c>
      <c r="O16" s="21">
        <f>N16/C16</f>
        <v>1.2433743083946522</v>
      </c>
    </row>
    <row r="17" spans="1:15" x14ac:dyDescent="0.3">
      <c r="B17" s="7" t="s">
        <v>32</v>
      </c>
      <c r="C17" s="20">
        <f t="shared" ref="C17:N17" si="8">C10/$C$2</f>
        <v>375</v>
      </c>
      <c r="D17" s="20">
        <f t="shared" si="8"/>
        <v>382.5</v>
      </c>
      <c r="E17" s="20">
        <f t="shared" si="8"/>
        <v>390.15000000000003</v>
      </c>
      <c r="F17" s="20">
        <f t="shared" si="8"/>
        <v>397.95300000000003</v>
      </c>
      <c r="G17" s="20">
        <f t="shared" si="8"/>
        <v>405.91206000000005</v>
      </c>
      <c r="H17" s="20">
        <f t="shared" si="8"/>
        <v>414.03030120000005</v>
      </c>
      <c r="I17" s="20">
        <f t="shared" si="8"/>
        <v>422.31090722400006</v>
      </c>
      <c r="J17" s="20">
        <f t="shared" si="8"/>
        <v>430.75712536848005</v>
      </c>
      <c r="K17" s="20">
        <f t="shared" si="8"/>
        <v>439.37226787584967</v>
      </c>
      <c r="L17" s="20">
        <f t="shared" si="8"/>
        <v>448.15971323336663</v>
      </c>
      <c r="M17" s="20">
        <f t="shared" si="8"/>
        <v>457.12290749803395</v>
      </c>
      <c r="N17" s="20">
        <f t="shared" si="8"/>
        <v>466.26536564799466</v>
      </c>
      <c r="O17" s="21">
        <f>N17/C17</f>
        <v>1.2433743083946525</v>
      </c>
    </row>
    <row r="18" spans="1:15" x14ac:dyDescent="0.3">
      <c r="B18" s="7" t="s">
        <v>33</v>
      </c>
      <c r="C18" s="20">
        <f>C16+C17</f>
        <v>19125</v>
      </c>
      <c r="D18" s="20">
        <f t="shared" ref="D18:N18" si="9">D16+D17</f>
        <v>19507.5</v>
      </c>
      <c r="E18" s="20">
        <f t="shared" si="9"/>
        <v>19897.650000000001</v>
      </c>
      <c r="F18" s="20">
        <f t="shared" si="9"/>
        <v>20295.603000000003</v>
      </c>
      <c r="G18" s="20">
        <f t="shared" si="9"/>
        <v>20701.515060000002</v>
      </c>
      <c r="H18" s="20">
        <f t="shared" si="9"/>
        <v>21115.545361200002</v>
      </c>
      <c r="I18" s="20">
        <f t="shared" si="9"/>
        <v>21537.856268424002</v>
      </c>
      <c r="J18" s="20">
        <f t="shared" si="9"/>
        <v>21968.613393792482</v>
      </c>
      <c r="K18" s="20">
        <f t="shared" si="9"/>
        <v>22407.985661668332</v>
      </c>
      <c r="L18" s="20">
        <f t="shared" si="9"/>
        <v>22856.145374901698</v>
      </c>
      <c r="M18" s="20">
        <f t="shared" si="9"/>
        <v>23313.268282399731</v>
      </c>
      <c r="N18" s="20">
        <f t="shared" si="9"/>
        <v>23779.533648047727</v>
      </c>
    </row>
    <row r="19" spans="1:15" x14ac:dyDescent="0.3">
      <c r="B19" s="7" t="s">
        <v>39</v>
      </c>
      <c r="C19" s="12">
        <v>18</v>
      </c>
      <c r="D19" s="12">
        <v>16</v>
      </c>
      <c r="E19" s="12">
        <v>13</v>
      </c>
      <c r="F19" s="12">
        <v>15</v>
      </c>
      <c r="G19" s="12">
        <v>16</v>
      </c>
      <c r="H19" s="12">
        <v>18</v>
      </c>
      <c r="I19" s="12">
        <v>15</v>
      </c>
      <c r="J19" s="12">
        <v>13</v>
      </c>
      <c r="K19" s="12">
        <v>18</v>
      </c>
      <c r="L19" s="12">
        <v>16</v>
      </c>
      <c r="M19" s="12">
        <v>13</v>
      </c>
      <c r="N19" s="12">
        <v>15</v>
      </c>
    </row>
    <row r="20" spans="1:15" x14ac:dyDescent="0.3">
      <c r="A20" s="14"/>
      <c r="B20" s="7" t="s">
        <v>40</v>
      </c>
      <c r="C20" s="12">
        <v>47</v>
      </c>
      <c r="D20" s="12">
        <v>48</v>
      </c>
      <c r="E20" s="12">
        <v>49</v>
      </c>
      <c r="F20" s="12">
        <v>48</v>
      </c>
      <c r="G20" s="12">
        <v>47</v>
      </c>
      <c r="H20" s="12">
        <v>48</v>
      </c>
      <c r="I20" s="12">
        <v>49</v>
      </c>
      <c r="J20" s="12">
        <v>47</v>
      </c>
      <c r="K20" s="12">
        <v>46</v>
      </c>
      <c r="L20" s="12">
        <v>47</v>
      </c>
      <c r="M20" s="12">
        <v>48</v>
      </c>
      <c r="N20" s="12">
        <v>49</v>
      </c>
    </row>
    <row r="23" spans="1:15" x14ac:dyDescent="0.3">
      <c r="B23" s="11" t="s">
        <v>25</v>
      </c>
      <c r="C23" s="13" t="s">
        <v>0</v>
      </c>
      <c r="D23" s="13" t="s">
        <v>1</v>
      </c>
      <c r="E23" s="13" t="s">
        <v>2</v>
      </c>
      <c r="F23" s="13" t="s">
        <v>3</v>
      </c>
      <c r="G23" s="13" t="s">
        <v>4</v>
      </c>
      <c r="H23" s="13" t="s">
        <v>5</v>
      </c>
      <c r="I23" s="13" t="s">
        <v>6</v>
      </c>
      <c r="J23" s="13" t="s">
        <v>7</v>
      </c>
      <c r="K23" s="13" t="s">
        <v>8</v>
      </c>
      <c r="L23" s="13" t="s">
        <v>9</v>
      </c>
      <c r="M23" s="13" t="s">
        <v>10</v>
      </c>
      <c r="N23" s="13" t="s">
        <v>14</v>
      </c>
    </row>
    <row r="24" spans="1:15" x14ac:dyDescent="0.3">
      <c r="B24" s="7" t="s">
        <v>34</v>
      </c>
      <c r="C24" s="17">
        <v>150000</v>
      </c>
      <c r="D24" s="17">
        <v>153000</v>
      </c>
      <c r="E24" s="17">
        <v>156060</v>
      </c>
      <c r="F24" s="17">
        <v>159181.20000000001</v>
      </c>
      <c r="G24" s="17">
        <v>162364.82400000002</v>
      </c>
      <c r="H24" s="17">
        <v>165612.12048000001</v>
      </c>
      <c r="I24" s="17">
        <v>168924.36288960002</v>
      </c>
      <c r="J24" s="17">
        <v>172302.85014739202</v>
      </c>
      <c r="K24" s="17">
        <v>175748.90715033986</v>
      </c>
      <c r="L24" s="17">
        <v>179263.88529334666</v>
      </c>
      <c r="M24" s="17">
        <v>182849.16299921359</v>
      </c>
      <c r="N24" s="17">
        <v>186506.14625919785</v>
      </c>
    </row>
    <row r="25" spans="1:15" x14ac:dyDescent="0.3">
      <c r="B25" s="16" t="s">
        <v>35</v>
      </c>
      <c r="C25" s="10">
        <v>145000</v>
      </c>
      <c r="D25" s="10">
        <v>152000</v>
      </c>
      <c r="E25" s="10">
        <v>150060</v>
      </c>
      <c r="F25" s="10">
        <v>154000</v>
      </c>
      <c r="G25" s="10">
        <v>157000</v>
      </c>
      <c r="H25" s="10">
        <v>160000</v>
      </c>
      <c r="I25" s="10">
        <v>163000</v>
      </c>
      <c r="J25" s="10">
        <v>167000</v>
      </c>
      <c r="K25" s="10">
        <v>170000</v>
      </c>
      <c r="L25" s="10">
        <v>174000</v>
      </c>
      <c r="M25" s="10">
        <v>180000</v>
      </c>
      <c r="N25" s="10">
        <v>182000</v>
      </c>
    </row>
    <row r="26" spans="1:15" x14ac:dyDescent="0.3">
      <c r="B26" s="16" t="s">
        <v>36</v>
      </c>
      <c r="C26" s="8">
        <f>C24*0.14</f>
        <v>21000.000000000004</v>
      </c>
      <c r="D26" s="8">
        <v>20000</v>
      </c>
      <c r="E26" s="8">
        <v>20400</v>
      </c>
      <c r="F26" s="8">
        <v>21549</v>
      </c>
      <c r="G26" s="8">
        <v>20200</v>
      </c>
      <c r="H26" s="8">
        <v>21444</v>
      </c>
      <c r="I26" s="8">
        <v>22345</v>
      </c>
      <c r="J26" s="8">
        <v>24999</v>
      </c>
      <c r="K26" s="8">
        <v>25788</v>
      </c>
      <c r="L26" s="8">
        <v>26888</v>
      </c>
      <c r="M26" s="8">
        <v>27454</v>
      </c>
      <c r="N26" s="8">
        <v>30556</v>
      </c>
    </row>
    <row r="27" spans="1:15" x14ac:dyDescent="0.3">
      <c r="B27" s="16" t="s">
        <v>26</v>
      </c>
      <c r="C27" s="18">
        <f>(C26/C24)</f>
        <v>0.14000000000000001</v>
      </c>
      <c r="D27" s="18">
        <f t="shared" ref="D27:N27" si="10">(D26/D24)</f>
        <v>0.13071895424836602</v>
      </c>
      <c r="E27" s="18">
        <f t="shared" si="10"/>
        <v>0.13071895424836602</v>
      </c>
      <c r="F27" s="18">
        <f t="shared" si="10"/>
        <v>0.1353740265810284</v>
      </c>
      <c r="G27" s="18">
        <f t="shared" si="10"/>
        <v>0.12441118403823723</v>
      </c>
      <c r="H27" s="18">
        <f t="shared" si="10"/>
        <v>0.12948327657328476</v>
      </c>
      <c r="I27" s="18">
        <f t="shared" si="10"/>
        <v>0.13227813689966972</v>
      </c>
      <c r="J27" s="18">
        <f t="shared" si="10"/>
        <v>0.14508755936779485</v>
      </c>
      <c r="K27" s="18">
        <f t="shared" si="10"/>
        <v>0.14673206461500396</v>
      </c>
      <c r="L27" s="18">
        <f t="shared" si="10"/>
        <v>0.14999117059189357</v>
      </c>
      <c r="M27" s="18">
        <f t="shared" si="10"/>
        <v>0.15014561483181674</v>
      </c>
      <c r="N27" s="18">
        <f t="shared" si="10"/>
        <v>0.16383374281689703</v>
      </c>
    </row>
    <row r="28" spans="1:15" x14ac:dyDescent="0.3">
      <c r="B28" s="16" t="s">
        <v>37</v>
      </c>
      <c r="C28" s="10">
        <f>C24*0.77</f>
        <v>115500</v>
      </c>
      <c r="D28" s="10">
        <f t="shared" ref="D28:N28" si="11">D24*0.77</f>
        <v>117810</v>
      </c>
      <c r="E28" s="10">
        <f t="shared" si="11"/>
        <v>120166.2</v>
      </c>
      <c r="F28" s="10">
        <f t="shared" si="11"/>
        <v>122569.524</v>
      </c>
      <c r="G28" s="10">
        <f t="shared" si="11"/>
        <v>125020.91448000002</v>
      </c>
      <c r="H28" s="10">
        <f t="shared" si="11"/>
        <v>127521.33276960002</v>
      </c>
      <c r="I28" s="10">
        <f t="shared" si="11"/>
        <v>130071.75942499202</v>
      </c>
      <c r="J28" s="10">
        <f t="shared" si="11"/>
        <v>132673.19461349185</v>
      </c>
      <c r="K28" s="10">
        <f t="shared" si="11"/>
        <v>135326.6585057617</v>
      </c>
      <c r="L28" s="10">
        <f t="shared" si="11"/>
        <v>138033.19167587694</v>
      </c>
      <c r="M28" s="10">
        <f t="shared" si="11"/>
        <v>140793.85550939446</v>
      </c>
      <c r="N28" s="10">
        <f t="shared" si="11"/>
        <v>143609.73261958236</v>
      </c>
    </row>
    <row r="30" spans="1:15" x14ac:dyDescent="0.3">
      <c r="D30">
        <f>D24/C24</f>
        <v>1.02</v>
      </c>
      <c r="E30">
        <f t="shared" ref="E30:N30" si="12">E24/D24</f>
        <v>1.02</v>
      </c>
      <c r="F30">
        <f t="shared" si="12"/>
        <v>1.02</v>
      </c>
      <c r="G30">
        <f t="shared" si="12"/>
        <v>1.02</v>
      </c>
      <c r="H30">
        <f t="shared" si="12"/>
        <v>1.02</v>
      </c>
      <c r="I30">
        <f t="shared" si="12"/>
        <v>1.02</v>
      </c>
      <c r="J30">
        <f t="shared" si="12"/>
        <v>1.02</v>
      </c>
      <c r="K30">
        <f t="shared" si="12"/>
        <v>1.02</v>
      </c>
      <c r="L30">
        <f t="shared" si="12"/>
        <v>1.02</v>
      </c>
      <c r="M30">
        <f t="shared" si="12"/>
        <v>1.02</v>
      </c>
      <c r="N30">
        <f t="shared" si="12"/>
        <v>1.02</v>
      </c>
    </row>
    <row r="32" spans="1:15" x14ac:dyDescent="0.3">
      <c r="N32" s="19">
        <f>N24-C24</f>
        <v>36506.146259197849</v>
      </c>
    </row>
    <row r="33" spans="13:14" x14ac:dyDescent="0.3">
      <c r="M33" t="s">
        <v>38</v>
      </c>
      <c r="N33" s="5">
        <f>N32/C24</f>
        <v>0.24337430839465232</v>
      </c>
    </row>
  </sheetData>
  <conditionalFormatting sqref="B14:B15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AFD7-14E1-48F7-9C2C-E9957A1AC5B1}">
  <dimension ref="A1"/>
  <sheetViews>
    <sheetView topLeftCell="A10" workbookViewId="0">
      <selection activeCell="J19" sqref="J19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8E269-88A1-4C8E-9553-18CBA6B24CDC}">
  <dimension ref="A5:D17"/>
  <sheetViews>
    <sheetView workbookViewId="0">
      <selection activeCell="C6" sqref="C6:C16"/>
    </sheetView>
  </sheetViews>
  <sheetFormatPr defaultRowHeight="14.4" x14ac:dyDescent="0.3"/>
  <cols>
    <col min="2" max="2" width="14.6640625" bestFit="1" customWidth="1"/>
    <col min="3" max="3" width="8" bestFit="1" customWidth="1"/>
    <col min="4" max="4" width="11.44140625" bestFit="1" customWidth="1"/>
    <col min="5" max="57" width="3.77734375" customWidth="1"/>
  </cols>
  <sheetData>
    <row r="5" spans="1:4" x14ac:dyDescent="0.3">
      <c r="A5" s="6" t="s">
        <v>17</v>
      </c>
      <c r="B5" t="s">
        <v>15</v>
      </c>
      <c r="C5" t="s">
        <v>11</v>
      </c>
      <c r="D5" t="s">
        <v>16</v>
      </c>
    </row>
    <row r="6" spans="1:4" x14ac:dyDescent="0.3">
      <c r="A6" t="s">
        <v>0</v>
      </c>
      <c r="B6" s="3">
        <f>'#1'!C7/31</f>
        <v>4838.7096774193551</v>
      </c>
      <c r="C6" s="3">
        <f>'#1'!C8/31</f>
        <v>96.774193548387103</v>
      </c>
      <c r="D6" s="4">
        <f>'#1'!C9/31</f>
        <v>2419354.8387096776</v>
      </c>
    </row>
    <row r="7" spans="1:4" x14ac:dyDescent="0.3">
      <c r="A7" t="s">
        <v>1</v>
      </c>
      <c r="B7" s="3">
        <f>'#1'!D7/28</f>
        <v>5464.2857142857147</v>
      </c>
      <c r="C7" s="3">
        <f>'#1'!D8/28</f>
        <v>109.28571428571429</v>
      </c>
      <c r="D7" s="4">
        <f>'#1'!D9/28</f>
        <v>2732142.8571428573</v>
      </c>
    </row>
    <row r="8" spans="1:4" x14ac:dyDescent="0.3">
      <c r="A8" t="s">
        <v>12</v>
      </c>
      <c r="B8" s="3">
        <f>'#1'!E7/31</f>
        <v>5034.1935483870966</v>
      </c>
      <c r="C8" s="3">
        <f>'#1'!E8/31</f>
        <v>100.68387096774194</v>
      </c>
      <c r="D8" s="4">
        <f>'#1'!E9/31</f>
        <v>2517096.7741935486</v>
      </c>
    </row>
    <row r="9" spans="1:4" x14ac:dyDescent="0.3">
      <c r="A9" t="s">
        <v>3</v>
      </c>
      <c r="B9" s="3">
        <f>'#1'!F7/30</f>
        <v>5306.04</v>
      </c>
      <c r="C9" s="3">
        <f>'#1'!F8/30</f>
        <v>106.1208</v>
      </c>
      <c r="D9" s="4">
        <f>'#1'!F9/30</f>
        <v>2653020</v>
      </c>
    </row>
    <row r="10" spans="1:4" x14ac:dyDescent="0.3">
      <c r="A10" t="s">
        <v>4</v>
      </c>
      <c r="B10" s="3">
        <f>'#1'!G7/31</f>
        <v>5237.5749677419362</v>
      </c>
      <c r="C10" s="3">
        <f>'#1'!G8/31</f>
        <v>104.75149935483873</v>
      </c>
      <c r="D10" s="4">
        <f>'#1'!G9/31</f>
        <v>2618787.4838709682</v>
      </c>
    </row>
    <row r="11" spans="1:4" x14ac:dyDescent="0.3">
      <c r="A11" t="s">
        <v>5</v>
      </c>
      <c r="B11" s="3">
        <f>'#1'!H7/30</f>
        <v>5520.4040160000004</v>
      </c>
      <c r="C11" s="3">
        <f>'#1'!H8/30</f>
        <v>110.40808032000001</v>
      </c>
      <c r="D11" s="4">
        <f>'#1'!H9/30</f>
        <v>2760202.0080000004</v>
      </c>
    </row>
    <row r="12" spans="1:4" x14ac:dyDescent="0.3">
      <c r="A12" t="s">
        <v>6</v>
      </c>
      <c r="B12" s="3">
        <f>'#1'!I7/31</f>
        <v>5449.1729964387105</v>
      </c>
      <c r="C12" s="3">
        <f>'#1'!I8/31</f>
        <v>108.98345992877421</v>
      </c>
      <c r="D12" s="4">
        <f>'#1'!I9/31</f>
        <v>2724586.498219355</v>
      </c>
    </row>
    <row r="13" spans="1:4" x14ac:dyDescent="0.3">
      <c r="A13" t="s">
        <v>13</v>
      </c>
      <c r="B13" s="3">
        <f>'#1'!J7/31</f>
        <v>5558.1564563674847</v>
      </c>
      <c r="C13" s="3">
        <f>'#1'!J8/31</f>
        <v>111.16312912734969</v>
      </c>
      <c r="D13" s="4">
        <f>'#1'!J9/31</f>
        <v>2779078.2281837421</v>
      </c>
    </row>
    <row r="14" spans="1:4" x14ac:dyDescent="0.3">
      <c r="A14" t="s">
        <v>8</v>
      </c>
      <c r="B14" s="3">
        <f>'#1'!K7/30</f>
        <v>5858.2969050113288</v>
      </c>
      <c r="C14" s="3">
        <f>'#1'!K8/30</f>
        <v>117.16593810022658</v>
      </c>
      <c r="D14" s="4">
        <f>'#1'!K9/30</f>
        <v>2929148.4525056644</v>
      </c>
    </row>
    <row r="15" spans="1:4" x14ac:dyDescent="0.3">
      <c r="A15" t="s">
        <v>9</v>
      </c>
      <c r="B15" s="3">
        <f>'#1'!L7/31</f>
        <v>5782.7059772047305</v>
      </c>
      <c r="C15" s="3">
        <f>'#1'!L8/31</f>
        <v>115.65411954409461</v>
      </c>
      <c r="D15" s="4">
        <f>'#1'!L9/31</f>
        <v>2891352.9886023654</v>
      </c>
    </row>
    <row r="16" spans="1:4" x14ac:dyDescent="0.3">
      <c r="A16" t="s">
        <v>10</v>
      </c>
      <c r="B16" s="3">
        <f>'#1'!M7/30</f>
        <v>6094.9720999737865</v>
      </c>
      <c r="C16" s="3">
        <f>'#1'!M8/30</f>
        <v>121.89944199947573</v>
      </c>
      <c r="D16" s="4">
        <f>'#1'!M9/31</f>
        <v>2949180.0483744126</v>
      </c>
    </row>
    <row r="17" spans="1:4" x14ac:dyDescent="0.3">
      <c r="A17" t="s">
        <v>14</v>
      </c>
      <c r="B17" s="3">
        <f>'#1'!N7/31</f>
        <v>6016.3272986838019</v>
      </c>
      <c r="C17" s="3">
        <f>'#1'!N8/12</f>
        <v>310.8435770986631</v>
      </c>
      <c r="D17" s="4">
        <f>'#1'!N9/31</f>
        <v>3008163.6493419008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#1</vt:lpstr>
      <vt:lpstr>Graph</vt:lpstr>
      <vt:lpstr>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Gonzalez</dc:creator>
  <cp:lastModifiedBy>Carolina Gonzalez</cp:lastModifiedBy>
  <dcterms:created xsi:type="dcterms:W3CDTF">2026-02-21T18:51:42Z</dcterms:created>
  <dcterms:modified xsi:type="dcterms:W3CDTF">2026-02-24T19:33:27Z</dcterms:modified>
</cp:coreProperties>
</file>